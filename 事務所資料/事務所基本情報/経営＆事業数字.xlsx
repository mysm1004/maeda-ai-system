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laudeマスター\事務所資料\事務所基本情報\"/>
    </mc:Choice>
  </mc:AlternateContent>
  <xr:revisionPtr revIDLastSave="0" documentId="13_ncr:1_{671BED92-0DCB-4F63-9F8F-943CE90DF538}" xr6:coauthVersionLast="47" xr6:coauthVersionMax="47" xr10:uidLastSave="{00000000-0000-0000-0000-000000000000}"/>
  <bookViews>
    <workbookView xWindow="-110" yWindow="-110" windowWidth="19420" windowHeight="11620" activeTab="2" xr2:uid="{0AC15293-5510-41CE-A57E-9A87D7AC23FE}"/>
  </bookViews>
  <sheets>
    <sheet name="Sheet1" sheetId="1" r:id="rId1"/>
    <sheet name="Sheet2" sheetId="2" r:id="rId2"/>
    <sheet name="回収サマリー" sheetId="3" r:id="rId3"/>
    <sheet name="回収（２６年２月実数値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9" i="4"/>
  <c r="C33" i="4" s="1"/>
  <c r="I14" i="4"/>
  <c r="I19" i="4" s="1"/>
  <c r="C8" i="4"/>
  <c r="C32" i="4" s="1"/>
  <c r="C34" i="4" s="1"/>
  <c r="D18" i="3"/>
  <c r="D19" i="3" s="1"/>
  <c r="E15" i="2"/>
  <c r="B15" i="2"/>
  <c r="N14" i="2"/>
  <c r="K14" i="2"/>
  <c r="K13" i="2"/>
  <c r="H15" i="2" s="1"/>
  <c r="B10" i="2"/>
  <c r="B120" i="1"/>
  <c r="M117" i="1"/>
  <c r="I117" i="1"/>
  <c r="E117" i="1"/>
  <c r="P116" i="1"/>
  <c r="P117" i="1" s="1"/>
  <c r="O116" i="1"/>
  <c r="O117" i="1" s="1"/>
  <c r="N116" i="1"/>
  <c r="N117" i="1" s="1"/>
  <c r="M116" i="1"/>
  <c r="L116" i="1"/>
  <c r="L117" i="1" s="1"/>
  <c r="K116" i="1"/>
  <c r="K117" i="1" s="1"/>
  <c r="J116" i="1"/>
  <c r="J117" i="1" s="1"/>
  <c r="I116" i="1"/>
  <c r="H116" i="1"/>
  <c r="H117" i="1" s="1"/>
  <c r="G116" i="1"/>
  <c r="G117" i="1" s="1"/>
  <c r="F116" i="1"/>
  <c r="F117" i="1" s="1"/>
  <c r="E116" i="1"/>
  <c r="D116" i="1"/>
  <c r="D117" i="1" s="1"/>
  <c r="O115" i="1"/>
  <c r="K115" i="1"/>
  <c r="G115" i="1"/>
  <c r="P114" i="1"/>
  <c r="P115" i="1" s="1"/>
  <c r="O114" i="1"/>
  <c r="N114" i="1"/>
  <c r="N115" i="1" s="1"/>
  <c r="M114" i="1"/>
  <c r="M115" i="1" s="1"/>
  <c r="L114" i="1"/>
  <c r="L115" i="1" s="1"/>
  <c r="K114" i="1"/>
  <c r="J114" i="1"/>
  <c r="J115" i="1" s="1"/>
  <c r="I114" i="1"/>
  <c r="I115" i="1" s="1"/>
  <c r="H114" i="1"/>
  <c r="H115" i="1" s="1"/>
  <c r="G114" i="1"/>
  <c r="F114" i="1"/>
  <c r="F115" i="1" s="1"/>
  <c r="E114" i="1"/>
  <c r="E115" i="1" s="1"/>
  <c r="D114" i="1"/>
  <c r="D115" i="1" s="1"/>
  <c r="M113" i="1"/>
  <c r="I113" i="1"/>
  <c r="E113" i="1"/>
  <c r="P112" i="1"/>
  <c r="P113" i="1" s="1"/>
  <c r="O112" i="1"/>
  <c r="O113" i="1" s="1"/>
  <c r="N112" i="1"/>
  <c r="N113" i="1" s="1"/>
  <c r="M112" i="1"/>
  <c r="L112" i="1"/>
  <c r="L113" i="1" s="1"/>
  <c r="K112" i="1"/>
  <c r="K113" i="1" s="1"/>
  <c r="J112" i="1"/>
  <c r="J113" i="1" s="1"/>
  <c r="I112" i="1"/>
  <c r="H112" i="1"/>
  <c r="H113" i="1" s="1"/>
  <c r="G112" i="1"/>
  <c r="G113" i="1" s="1"/>
  <c r="F112" i="1"/>
  <c r="F113" i="1" s="1"/>
  <c r="E112" i="1"/>
  <c r="D112" i="1"/>
  <c r="D113" i="1" s="1"/>
  <c r="O111" i="1"/>
  <c r="K111" i="1"/>
  <c r="G111" i="1"/>
  <c r="P110" i="1"/>
  <c r="P111" i="1" s="1"/>
  <c r="O110" i="1"/>
  <c r="N110" i="1"/>
  <c r="N111" i="1" s="1"/>
  <c r="M110" i="1"/>
  <c r="M111" i="1" s="1"/>
  <c r="L110" i="1"/>
  <c r="L111" i="1" s="1"/>
  <c r="K110" i="1"/>
  <c r="J110" i="1"/>
  <c r="J111" i="1" s="1"/>
  <c r="I110" i="1"/>
  <c r="I111" i="1" s="1"/>
  <c r="H110" i="1"/>
  <c r="H111" i="1" s="1"/>
  <c r="G110" i="1"/>
  <c r="F110" i="1"/>
  <c r="F111" i="1" s="1"/>
  <c r="E110" i="1"/>
  <c r="E111" i="1" s="1"/>
  <c r="D110" i="1"/>
  <c r="D111" i="1" s="1"/>
  <c r="M109" i="1"/>
  <c r="I109" i="1"/>
  <c r="E109" i="1"/>
  <c r="P108" i="1"/>
  <c r="P109" i="1" s="1"/>
  <c r="O108" i="1"/>
  <c r="O109" i="1" s="1"/>
  <c r="N108" i="1"/>
  <c r="N109" i="1" s="1"/>
  <c r="M108" i="1"/>
  <c r="L108" i="1"/>
  <c r="L109" i="1" s="1"/>
  <c r="K108" i="1"/>
  <c r="K109" i="1" s="1"/>
  <c r="J108" i="1"/>
  <c r="J109" i="1" s="1"/>
  <c r="I108" i="1"/>
  <c r="H108" i="1"/>
  <c r="H109" i="1" s="1"/>
  <c r="G108" i="1"/>
  <c r="G109" i="1" s="1"/>
  <c r="F108" i="1"/>
  <c r="F109" i="1" s="1"/>
  <c r="E108" i="1"/>
  <c r="D108" i="1"/>
  <c r="D109" i="1" s="1"/>
  <c r="O107" i="1"/>
  <c r="K107" i="1"/>
  <c r="G107" i="1"/>
  <c r="P106" i="1"/>
  <c r="P107" i="1" s="1"/>
  <c r="O106" i="1"/>
  <c r="N106" i="1"/>
  <c r="N107" i="1" s="1"/>
  <c r="M106" i="1"/>
  <c r="M107" i="1" s="1"/>
  <c r="L106" i="1"/>
  <c r="L107" i="1" s="1"/>
  <c r="K106" i="1"/>
  <c r="J106" i="1"/>
  <c r="J107" i="1" s="1"/>
  <c r="I106" i="1"/>
  <c r="I107" i="1" s="1"/>
  <c r="H106" i="1"/>
  <c r="H107" i="1" s="1"/>
  <c r="G106" i="1"/>
  <c r="F106" i="1"/>
  <c r="F107" i="1" s="1"/>
  <c r="E106" i="1"/>
  <c r="E107" i="1" s="1"/>
  <c r="D106" i="1"/>
  <c r="D107" i="1" s="1"/>
  <c r="F104" i="1"/>
  <c r="F105" i="1" s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P70" i="1"/>
  <c r="O70" i="1"/>
  <c r="N70" i="1"/>
  <c r="M70" i="1"/>
  <c r="L70" i="1"/>
  <c r="K70" i="1"/>
  <c r="J70" i="1"/>
  <c r="I70" i="1"/>
  <c r="H70" i="1"/>
  <c r="G70" i="1"/>
  <c r="E70" i="1"/>
  <c r="D70" i="1"/>
  <c r="C70" i="1"/>
  <c r="B70" i="1"/>
  <c r="F68" i="1"/>
  <c r="F70" i="1" s="1"/>
  <c r="P66" i="1"/>
  <c r="O66" i="1"/>
  <c r="N66" i="1"/>
  <c r="M66" i="1"/>
  <c r="L66" i="1"/>
  <c r="K66" i="1"/>
  <c r="J66" i="1"/>
  <c r="I66" i="1"/>
  <c r="H66" i="1"/>
  <c r="G66" i="1"/>
  <c r="F66" i="1"/>
  <c r="E66" i="1"/>
  <c r="B66" i="1"/>
  <c r="F59" i="1"/>
  <c r="C59" i="1"/>
  <c r="B59" i="1"/>
  <c r="O56" i="1"/>
  <c r="J56" i="1"/>
  <c r="E56" i="1"/>
  <c r="D56" i="1"/>
  <c r="D104" i="1" s="1"/>
  <c r="D105" i="1" s="1"/>
  <c r="P53" i="1"/>
  <c r="P56" i="1" s="1"/>
  <c r="P59" i="1" s="1"/>
  <c r="O53" i="1"/>
  <c r="N53" i="1"/>
  <c r="M53" i="1"/>
  <c r="L53" i="1"/>
  <c r="L56" i="1" s="1"/>
  <c r="L59" i="1" s="1"/>
  <c r="K53" i="1"/>
  <c r="K56" i="1" s="1"/>
  <c r="J53" i="1"/>
  <c r="I53" i="1"/>
  <c r="H53" i="1"/>
  <c r="H56" i="1" s="1"/>
  <c r="H59" i="1" s="1"/>
  <c r="H86" i="1" s="1"/>
  <c r="G53" i="1"/>
  <c r="B50" i="1"/>
  <c r="B51" i="1" s="1"/>
  <c r="P38" i="1"/>
  <c r="O38" i="1"/>
  <c r="N38" i="1"/>
  <c r="M38" i="1"/>
  <c r="L38" i="1"/>
  <c r="K38" i="1"/>
  <c r="J38" i="1"/>
  <c r="I38" i="1"/>
  <c r="G38" i="1"/>
  <c r="G39" i="1" s="1"/>
  <c r="C38" i="1"/>
  <c r="C86" i="1" s="1"/>
  <c r="C88" i="1" s="1"/>
  <c r="B38" i="1"/>
  <c r="F33" i="1"/>
  <c r="F38" i="1" s="1"/>
  <c r="P26" i="1"/>
  <c r="O26" i="1"/>
  <c r="G26" i="1"/>
  <c r="F26" i="1"/>
  <c r="C26" i="1"/>
  <c r="D25" i="1"/>
  <c r="Q24" i="1"/>
  <c r="P23" i="1"/>
  <c r="O23" i="1"/>
  <c r="N23" i="1"/>
  <c r="N26" i="1" s="1"/>
  <c r="M23" i="1"/>
  <c r="L23" i="1"/>
  <c r="K23" i="1"/>
  <c r="K26" i="1" s="1"/>
  <c r="J23" i="1"/>
  <c r="I23" i="1"/>
  <c r="H23" i="1"/>
  <c r="G23" i="1"/>
  <c r="F23" i="1"/>
  <c r="E23" i="1"/>
  <c r="D23" i="1"/>
  <c r="C23" i="1"/>
  <c r="C99" i="1" s="1"/>
  <c r="C100" i="1" s="1"/>
  <c r="Q20" i="1"/>
  <c r="Q18" i="1"/>
  <c r="Q16" i="1"/>
  <c r="Q15" i="1"/>
  <c r="Q13" i="1"/>
  <c r="Q11" i="1"/>
  <c r="Q9" i="1"/>
  <c r="Q7" i="1"/>
  <c r="Q5" i="1"/>
  <c r="Q23" i="1" s="1"/>
  <c r="Q26" i="1" s="1"/>
  <c r="B5" i="1"/>
  <c r="B23" i="1" s="1"/>
  <c r="Q4" i="1"/>
  <c r="C36" i="4" l="1"/>
  <c r="C31" i="4"/>
  <c r="C37" i="4" s="1"/>
  <c r="E20" i="2"/>
  <c r="H13" i="2"/>
  <c r="E18" i="2"/>
  <c r="E19" i="2"/>
  <c r="D23" i="2" s="1"/>
  <c r="B99" i="1"/>
  <c r="B100" i="1" s="1"/>
  <c r="B97" i="1"/>
  <c r="B98" i="1" s="1"/>
  <c r="B26" i="1"/>
  <c r="N87" i="1"/>
  <c r="N85" i="1"/>
  <c r="K87" i="1"/>
  <c r="K85" i="1"/>
  <c r="P39" i="1"/>
  <c r="P86" i="1"/>
  <c r="K39" i="1"/>
  <c r="H99" i="1"/>
  <c r="H100" i="1" s="1"/>
  <c r="H97" i="1"/>
  <c r="H98" i="1" s="1"/>
  <c r="L99" i="1"/>
  <c r="L100" i="1" s="1"/>
  <c r="L97" i="1"/>
  <c r="L98" i="1" s="1"/>
  <c r="P99" i="1"/>
  <c r="P100" i="1" s="1"/>
  <c r="P97" i="1"/>
  <c r="P98" i="1" s="1"/>
  <c r="G87" i="1"/>
  <c r="G85" i="1"/>
  <c r="L26" i="1"/>
  <c r="L39" i="1" s="1"/>
  <c r="F86" i="1"/>
  <c r="M39" i="1"/>
  <c r="J104" i="1"/>
  <c r="J105" i="1" s="1"/>
  <c r="J59" i="1"/>
  <c r="N59" i="1"/>
  <c r="N95" i="1" s="1"/>
  <c r="N96" i="1" s="1"/>
  <c r="E59" i="1"/>
  <c r="E86" i="1" s="1"/>
  <c r="E104" i="1"/>
  <c r="E105" i="1" s="1"/>
  <c r="F95" i="1"/>
  <c r="F96" i="1" s="1"/>
  <c r="F93" i="1"/>
  <c r="F87" i="1"/>
  <c r="F85" i="1"/>
  <c r="P85" i="1"/>
  <c r="P87" i="1" s="1"/>
  <c r="P95" i="1"/>
  <c r="P96" i="1" s="1"/>
  <c r="P93" i="1"/>
  <c r="L86" i="1"/>
  <c r="F39" i="1"/>
  <c r="E26" i="1"/>
  <c r="E99" i="1"/>
  <c r="E97" i="1"/>
  <c r="I26" i="1"/>
  <c r="M26" i="1"/>
  <c r="C87" i="1"/>
  <c r="C85" i="1"/>
  <c r="C95" i="1"/>
  <c r="C96" i="1" s="1"/>
  <c r="C93" i="1"/>
  <c r="C94" i="1" s="1"/>
  <c r="H26" i="1"/>
  <c r="J86" i="1"/>
  <c r="C39" i="1"/>
  <c r="I39" i="1"/>
  <c r="N39" i="1"/>
  <c r="G104" i="1"/>
  <c r="G105" i="1" s="1"/>
  <c r="K59" i="1"/>
  <c r="K86" i="1" s="1"/>
  <c r="K104" i="1"/>
  <c r="K105" i="1" s="1"/>
  <c r="O59" i="1"/>
  <c r="O86" i="1" s="1"/>
  <c r="O104" i="1"/>
  <c r="O105" i="1" s="1"/>
  <c r="G56" i="1"/>
  <c r="G59" i="1" s="1"/>
  <c r="M56" i="1"/>
  <c r="M59" i="1" s="1"/>
  <c r="F99" i="1"/>
  <c r="F100" i="1" s="1"/>
  <c r="F97" i="1"/>
  <c r="F98" i="1" s="1"/>
  <c r="J99" i="1"/>
  <c r="J100" i="1" s="1"/>
  <c r="J97" i="1"/>
  <c r="J98" i="1" s="1"/>
  <c r="D26" i="1"/>
  <c r="J26" i="1"/>
  <c r="O85" i="1"/>
  <c r="O87" i="1" s="1"/>
  <c r="O95" i="1"/>
  <c r="O96" i="1" s="1"/>
  <c r="O93" i="1"/>
  <c r="O94" i="1" s="1"/>
  <c r="J39" i="1"/>
  <c r="O39" i="1"/>
  <c r="I56" i="1"/>
  <c r="I59" i="1" s="1"/>
  <c r="N56" i="1"/>
  <c r="N104" i="1" s="1"/>
  <c r="N105" i="1" s="1"/>
  <c r="D59" i="1"/>
  <c r="D86" i="1" s="1"/>
  <c r="C97" i="1"/>
  <c r="C98" i="1" s="1"/>
  <c r="K97" i="1"/>
  <c r="K98" i="1" s="1"/>
  <c r="O97" i="1"/>
  <c r="O98" i="1" s="1"/>
  <c r="H104" i="1"/>
  <c r="H105" i="1" s="1"/>
  <c r="L104" i="1"/>
  <c r="L105" i="1" s="1"/>
  <c r="P104" i="1"/>
  <c r="P105" i="1" s="1"/>
  <c r="C35" i="4" l="1"/>
  <c r="M97" i="1"/>
  <c r="M98" i="1" s="1"/>
  <c r="M86" i="1"/>
  <c r="M99" i="1"/>
  <c r="M100" i="1" s="1"/>
  <c r="G95" i="1"/>
  <c r="G96" i="1" s="1"/>
  <c r="G97" i="1"/>
  <c r="G98" i="1" s="1"/>
  <c r="G86" i="1"/>
  <c r="G88" i="1" s="1"/>
  <c r="G93" i="1"/>
  <c r="G99" i="1"/>
  <c r="G100" i="1" s="1"/>
  <c r="I97" i="1"/>
  <c r="I98" i="1" s="1"/>
  <c r="I86" i="1"/>
  <c r="I99" i="1"/>
  <c r="I100" i="1" s="1"/>
  <c r="D87" i="1"/>
  <c r="D85" i="1"/>
  <c r="D39" i="1"/>
  <c r="D95" i="1"/>
  <c r="D96" i="1" s="1"/>
  <c r="D93" i="1"/>
  <c r="D94" i="1" s="1"/>
  <c r="O88" i="1"/>
  <c r="N86" i="1"/>
  <c r="N88" i="1" s="1"/>
  <c r="I95" i="1"/>
  <c r="I96" i="1" s="1"/>
  <c r="I93" i="1"/>
  <c r="I94" i="1" s="1"/>
  <c r="I87" i="1"/>
  <c r="I85" i="1"/>
  <c r="M104" i="1"/>
  <c r="M105" i="1" s="1"/>
  <c r="O99" i="1"/>
  <c r="O100" i="1" s="1"/>
  <c r="I104" i="1"/>
  <c r="I105" i="1" s="1"/>
  <c r="K90" i="1"/>
  <c r="N89" i="1"/>
  <c r="N90" i="1"/>
  <c r="P90" i="1"/>
  <c r="P89" i="1"/>
  <c r="D99" i="1"/>
  <c r="D100" i="1" s="1"/>
  <c r="N97" i="1"/>
  <c r="N98" i="1" s="1"/>
  <c r="M95" i="1"/>
  <c r="M96" i="1" s="1"/>
  <c r="M93" i="1"/>
  <c r="M87" i="1"/>
  <c r="M85" i="1"/>
  <c r="E98" i="1"/>
  <c r="Q97" i="1"/>
  <c r="Q98" i="1" s="1"/>
  <c r="P94" i="1"/>
  <c r="P102" i="1"/>
  <c r="F90" i="1"/>
  <c r="K93" i="1"/>
  <c r="K94" i="1" s="1"/>
  <c r="K99" i="1"/>
  <c r="K100" i="1" s="1"/>
  <c r="N93" i="1"/>
  <c r="N94" i="1" s="1"/>
  <c r="J95" i="1"/>
  <c r="J96" i="1" s="1"/>
  <c r="J93" i="1"/>
  <c r="J87" i="1"/>
  <c r="J85" i="1"/>
  <c r="J88" i="1" s="1"/>
  <c r="E95" i="1"/>
  <c r="E93" i="1"/>
  <c r="E87" i="1"/>
  <c r="E88" i="1" s="1"/>
  <c r="E85" i="1"/>
  <c r="E39" i="1"/>
  <c r="L87" i="1"/>
  <c r="L85" i="1"/>
  <c r="L88" i="1" s="1"/>
  <c r="L95" i="1"/>
  <c r="L96" i="1" s="1"/>
  <c r="L93" i="1"/>
  <c r="L94" i="1" s="1"/>
  <c r="G89" i="1"/>
  <c r="G90" i="1"/>
  <c r="P88" i="1"/>
  <c r="B95" i="1"/>
  <c r="B96" i="1" s="1"/>
  <c r="B93" i="1"/>
  <c r="B94" i="1" s="1"/>
  <c r="O89" i="1"/>
  <c r="O90" i="1"/>
  <c r="N99" i="1"/>
  <c r="N100" i="1" s="1"/>
  <c r="K88" i="1"/>
  <c r="K89" i="1" s="1"/>
  <c r="H87" i="1"/>
  <c r="H85" i="1"/>
  <c r="H39" i="1"/>
  <c r="H95" i="1"/>
  <c r="H96" i="1" s="1"/>
  <c r="H93" i="1"/>
  <c r="H94" i="1" s="1"/>
  <c r="C89" i="1"/>
  <c r="C90" i="1"/>
  <c r="E100" i="1"/>
  <c r="Q99" i="1"/>
  <c r="Q100" i="1" s="1"/>
  <c r="F94" i="1"/>
  <c r="F102" i="1"/>
  <c r="F88" i="1"/>
  <c r="F89" i="1" s="1"/>
  <c r="D97" i="1"/>
  <c r="D98" i="1" s="1"/>
  <c r="K95" i="1"/>
  <c r="K96" i="1" s="1"/>
  <c r="B39" i="1"/>
  <c r="H90" i="1" l="1"/>
  <c r="D90" i="1"/>
  <c r="D89" i="1"/>
  <c r="L90" i="1"/>
  <c r="L89" i="1"/>
  <c r="L91" i="1" s="1"/>
  <c r="E102" i="1"/>
  <c r="E94" i="1"/>
  <c r="Q93" i="1"/>
  <c r="Q94" i="1" s="1"/>
  <c r="J94" i="1"/>
  <c r="J102" i="1"/>
  <c r="G102" i="1"/>
  <c r="G94" i="1"/>
  <c r="E96" i="1"/>
  <c r="Q95" i="1"/>
  <c r="Q96" i="1" s="1"/>
  <c r="M89" i="1"/>
  <c r="M90" i="1"/>
  <c r="I88" i="1"/>
  <c r="M88" i="1"/>
  <c r="E89" i="1"/>
  <c r="E90" i="1"/>
  <c r="Q87" i="1"/>
  <c r="J89" i="1"/>
  <c r="J90" i="1"/>
  <c r="H88" i="1"/>
  <c r="H89" i="1" s="1"/>
  <c r="D88" i="1"/>
  <c r="M102" i="1"/>
  <c r="M94" i="1"/>
  <c r="I89" i="1"/>
  <c r="I91" i="1" s="1"/>
  <c r="I90" i="1"/>
  <c r="Q89" i="1" l="1"/>
  <c r="Q90" i="1"/>
</calcChain>
</file>

<file path=xl/sharedStrings.xml><?xml version="1.0" encoding="utf-8"?>
<sst xmlns="http://schemas.openxmlformats.org/spreadsheetml/2006/main" count="301" uniqueCount="263">
  <si>
    <t>夏から２００返す想定。→３月城南相談</t>
    <rPh sb="0" eb="1">
      <t>ナツ</t>
    </rPh>
    <rPh sb="6" eb="7">
      <t>カエ</t>
    </rPh>
    <rPh sb="8" eb="10">
      <t>ソウテイ</t>
    </rPh>
    <rPh sb="13" eb="14">
      <t>ガツ</t>
    </rPh>
    <rPh sb="14" eb="16">
      <t>ジョウナン</t>
    </rPh>
    <rPh sb="16" eb="18">
      <t>ソウダン</t>
    </rPh>
    <phoneticPr fontId="3"/>
  </si>
  <si>
    <t>年間</t>
    <rPh sb="0" eb="2">
      <t>ネンカン</t>
    </rPh>
    <phoneticPr fontId="3"/>
  </si>
  <si>
    <t>月５００残しminで夏には７００。</t>
    <rPh sb="0" eb="1">
      <t>ツキ</t>
    </rPh>
    <rPh sb="4" eb="5">
      <t>ノコ</t>
    </rPh>
    <rPh sb="10" eb="11">
      <t>ナツ</t>
    </rPh>
    <phoneticPr fontId="3"/>
  </si>
  <si>
    <t>☆売上（税込）</t>
    <rPh sb="1" eb="3">
      <t>ウリアゲ</t>
    </rPh>
    <rPh sb="4" eb="6">
      <t>ゼイコ</t>
    </rPh>
    <phoneticPr fontId="3"/>
  </si>
  <si>
    <t>全保連提訴８０×GMO１次貰う×刑事CPA３０以下で２０受任</t>
    <rPh sb="0" eb="3">
      <t>ゼンホレン</t>
    </rPh>
    <rPh sb="3" eb="5">
      <t>テイソ</t>
    </rPh>
    <rPh sb="12" eb="13">
      <t>ジ</t>
    </rPh>
    <rPh sb="13" eb="14">
      <t>モラ</t>
    </rPh>
    <rPh sb="16" eb="18">
      <t>ケイジ</t>
    </rPh>
    <rPh sb="23" eb="25">
      <t>イカ</t>
    </rPh>
    <rPh sb="28" eb="30">
      <t>ジュニン</t>
    </rPh>
    <phoneticPr fontId="3"/>
  </si>
  <si>
    <t>・不貞</t>
    <rPh sb="1" eb="3">
      <t>フテイ</t>
    </rPh>
    <phoneticPr fontId="3"/>
  </si>
  <si>
    <t>・刑事</t>
    <rPh sb="1" eb="3">
      <t>ケイジ</t>
    </rPh>
    <phoneticPr fontId="3"/>
  </si>
  <si>
    <t>　→AVE月２５件（２０００万）</t>
    <rPh sb="5" eb="6">
      <t>ツキ</t>
    </rPh>
    <rPh sb="8" eb="9">
      <t>ケン</t>
    </rPh>
    <rPh sb="14" eb="15">
      <t>マン</t>
    </rPh>
    <phoneticPr fontId="3"/>
  </si>
  <si>
    <t>・タテアケ</t>
    <phoneticPr fontId="3"/>
  </si>
  <si>
    <t>　→２０００万</t>
    <rPh sb="6" eb="7">
      <t>マン</t>
    </rPh>
    <phoneticPr fontId="3"/>
  </si>
  <si>
    <t>ZR提訴６０件＋任意退去月8件</t>
    <rPh sb="2" eb="4">
      <t>テイソ</t>
    </rPh>
    <rPh sb="6" eb="7">
      <t>ケン</t>
    </rPh>
    <rPh sb="8" eb="10">
      <t>ニンイ</t>
    </rPh>
    <rPh sb="10" eb="12">
      <t>タイキョ</t>
    </rPh>
    <rPh sb="12" eb="13">
      <t>ツキ</t>
    </rPh>
    <rPh sb="14" eb="15">
      <t>ケン</t>
    </rPh>
    <phoneticPr fontId="3"/>
  </si>
  <si>
    <t>・回収（既存）</t>
    <rPh sb="1" eb="3">
      <t>カイシュウ</t>
    </rPh>
    <rPh sb="4" eb="6">
      <t>キゾン</t>
    </rPh>
    <phoneticPr fontId="3"/>
  </si>
  <si>
    <t>　→既存でAVE１１００</t>
    <rPh sb="2" eb="4">
      <t>キゾン</t>
    </rPh>
    <phoneticPr fontId="3"/>
  </si>
  <si>
    <t>・回収（GMO）</t>
    <rPh sb="1" eb="3">
      <t>カイシュウ</t>
    </rPh>
    <phoneticPr fontId="3"/>
  </si>
  <si>
    <t>　→１.５万件もらえるように</t>
    <rPh sb="5" eb="7">
      <t>マンケン</t>
    </rPh>
    <phoneticPr fontId="3"/>
  </si>
  <si>
    <t>※初動１位</t>
    <rPh sb="1" eb="3">
      <t>ショドウ</t>
    </rPh>
    <rPh sb="4" eb="5">
      <t>イ</t>
    </rPh>
    <phoneticPr fontId="3"/>
  </si>
  <si>
    <t>・回収（新規）</t>
    <rPh sb="1" eb="3">
      <t>カイシュウ</t>
    </rPh>
    <rPh sb="4" eb="6">
      <t>シンキ</t>
    </rPh>
    <phoneticPr fontId="3"/>
  </si>
  <si>
    <t>　→１２月カーサ（２億×８％＝４００万）</t>
    <rPh sb="4" eb="5">
      <t>ガツ</t>
    </rPh>
    <rPh sb="10" eb="11">
      <t>オク</t>
    </rPh>
    <rPh sb="18" eb="19">
      <t>マン</t>
    </rPh>
    <phoneticPr fontId="3"/>
  </si>
  <si>
    <t>　→夏にもう１社</t>
    <rPh sb="2" eb="3">
      <t>ナツ</t>
    </rPh>
    <rPh sb="7" eb="8">
      <t>シャ</t>
    </rPh>
    <phoneticPr fontId="3"/>
  </si>
  <si>
    <t>・相続</t>
    <rPh sb="1" eb="3">
      <t>ソウゾク</t>
    </rPh>
    <phoneticPr fontId="3"/>
  </si>
  <si>
    <t>　→紹介で月１件受任＋媒体で１件</t>
    <rPh sb="2" eb="4">
      <t>ショウカイ</t>
    </rPh>
    <rPh sb="5" eb="6">
      <t>ツキ</t>
    </rPh>
    <rPh sb="7" eb="8">
      <t>ケン</t>
    </rPh>
    <rPh sb="8" eb="10">
      <t>ジュニン</t>
    </rPh>
    <rPh sb="11" eb="13">
      <t>バイタイ</t>
    </rPh>
    <rPh sb="15" eb="16">
      <t>ケン</t>
    </rPh>
    <phoneticPr fontId="3"/>
  </si>
  <si>
    <t>　→３か月に１件成功報酬</t>
    <rPh sb="4" eb="5">
      <t>ゲツ</t>
    </rPh>
    <rPh sb="7" eb="8">
      <t>ケン</t>
    </rPh>
    <rPh sb="8" eb="12">
      <t>セイコウホウシュウ</t>
    </rPh>
    <phoneticPr fontId="3"/>
  </si>
  <si>
    <t>・新規事業</t>
    <rPh sb="1" eb="3">
      <t>シンキ</t>
    </rPh>
    <rPh sb="3" eb="5">
      <t>ジギョウ</t>
    </rPh>
    <phoneticPr fontId="3"/>
  </si>
  <si>
    <t>　→春までに形を作り、年内月１００件</t>
    <rPh sb="2" eb="3">
      <t>ハル</t>
    </rPh>
    <rPh sb="6" eb="7">
      <t>カタチ</t>
    </rPh>
    <rPh sb="8" eb="9">
      <t>ツク</t>
    </rPh>
    <rPh sb="11" eb="13">
      <t>ネンナイ</t>
    </rPh>
    <rPh sb="13" eb="14">
      <t>ツキ</t>
    </rPh>
    <rPh sb="17" eb="18">
      <t>ケン</t>
    </rPh>
    <phoneticPr fontId="3"/>
  </si>
  <si>
    <t>回収率２５％×料率４０％×１セット５０件</t>
    <rPh sb="0" eb="2">
      <t>カイシュウ</t>
    </rPh>
    <rPh sb="2" eb="3">
      <t>リツ</t>
    </rPh>
    <rPh sb="7" eb="9">
      <t>リョウリツ</t>
    </rPh>
    <rPh sb="19" eb="20">
      <t>ケン</t>
    </rPh>
    <phoneticPr fontId="3"/>
  </si>
  <si>
    <t>夏：月５０件受任→冬：月１００件受任</t>
    <rPh sb="0" eb="1">
      <t>ナツ</t>
    </rPh>
    <rPh sb="2" eb="3">
      <t>ツキ</t>
    </rPh>
    <rPh sb="5" eb="6">
      <t>ケン</t>
    </rPh>
    <rPh sb="6" eb="8">
      <t>ジュニン</t>
    </rPh>
    <rPh sb="9" eb="10">
      <t>フユ</t>
    </rPh>
    <rPh sb="11" eb="12">
      <t>ツキ</t>
    </rPh>
    <rPh sb="15" eb="16">
      <t>ケン</t>
    </rPh>
    <rPh sb="16" eb="18">
      <t>ジュニン</t>
    </rPh>
    <phoneticPr fontId="3"/>
  </si>
  <si>
    <t>小計</t>
    <rPh sb="0" eb="2">
      <t>ショウケイ</t>
    </rPh>
    <phoneticPr fontId="3"/>
  </si>
  <si>
    <t>任意整理</t>
    <rPh sb="0" eb="4">
      <t>ニンイセイリ</t>
    </rPh>
    <phoneticPr fontId="3"/>
  </si>
  <si>
    <t>一般事件</t>
    <rPh sb="0" eb="4">
      <t>イッパンジケン</t>
    </rPh>
    <phoneticPr fontId="3"/>
  </si>
  <si>
    <t>(仮）</t>
    <rPh sb="1" eb="2">
      <t>カリ</t>
    </rPh>
    <phoneticPr fontId="3"/>
  </si>
  <si>
    <t>合計</t>
    <rPh sb="0" eb="2">
      <t>ゴウケイ</t>
    </rPh>
    <phoneticPr fontId="3"/>
  </si>
  <si>
    <t>☆経費</t>
    <rPh sb="1" eb="3">
      <t>ケイヒ</t>
    </rPh>
    <phoneticPr fontId="3"/>
  </si>
  <si>
    <t>■人件費</t>
    <rPh sb="1" eb="4">
      <t>ジンケンヒ</t>
    </rPh>
    <phoneticPr fontId="3"/>
  </si>
  <si>
    <t>スタッフ（給与）</t>
    <rPh sb="5" eb="7">
      <t>キュウヨ</t>
    </rPh>
    <phoneticPr fontId="3"/>
  </si>
  <si>
    <t>スタッフ（業託）</t>
    <rPh sb="5" eb="6">
      <t>ギョウ</t>
    </rPh>
    <rPh sb="6" eb="7">
      <t>コトヅケ</t>
    </rPh>
    <phoneticPr fontId="3"/>
  </si>
  <si>
    <t>弁護士（固定給）</t>
    <rPh sb="0" eb="3">
      <t>ベンゴシ</t>
    </rPh>
    <rPh sb="4" eb="7">
      <t>コテイキュウ</t>
    </rPh>
    <phoneticPr fontId="3"/>
  </si>
  <si>
    <t>弁護士（歩合）</t>
    <rPh sb="0" eb="3">
      <t>ベンゴシ</t>
    </rPh>
    <rPh sb="4" eb="6">
      <t>ブアイ</t>
    </rPh>
    <phoneticPr fontId="3"/>
  </si>
  <si>
    <t>社会保険料</t>
    <rPh sb="0" eb="4">
      <t>シャカイホケン</t>
    </rPh>
    <rPh sb="4" eb="5">
      <t>リョウ</t>
    </rPh>
    <phoneticPr fontId="3"/>
  </si>
  <si>
    <t>住民税</t>
    <rPh sb="0" eb="3">
      <t>ジュウミンゼイ</t>
    </rPh>
    <phoneticPr fontId="3"/>
  </si>
  <si>
    <t>（賞与分）</t>
    <rPh sb="1" eb="3">
      <t>ショウヨ</t>
    </rPh>
    <rPh sb="3" eb="4">
      <t>ブン</t>
    </rPh>
    <phoneticPr fontId="3"/>
  </si>
  <si>
    <t>源泉所得税</t>
    <rPh sb="0" eb="5">
      <t>ゲンセンショトクゼイ</t>
    </rPh>
    <phoneticPr fontId="3"/>
  </si>
  <si>
    <t>労働保険</t>
    <rPh sb="0" eb="4">
      <t>ロウドウホケン</t>
    </rPh>
    <phoneticPr fontId="3"/>
  </si>
  <si>
    <t>定期代</t>
    <rPh sb="0" eb="2">
      <t>テイキ</t>
    </rPh>
    <rPh sb="2" eb="3">
      <t>ダイ</t>
    </rPh>
    <phoneticPr fontId="3"/>
  </si>
  <si>
    <t>人件費小計</t>
    <rPh sb="0" eb="3">
      <t>ジンケンヒ</t>
    </rPh>
    <rPh sb="3" eb="5">
      <t>ショウケイ</t>
    </rPh>
    <phoneticPr fontId="3"/>
  </si>
  <si>
    <t>人件費割合</t>
    <rPh sb="0" eb="5">
      <t>ジンケンヒワリアイ</t>
    </rPh>
    <phoneticPr fontId="3"/>
  </si>
  <si>
    <t>　刑事：２５％</t>
    <rPh sb="1" eb="3">
      <t>ケイジ</t>
    </rPh>
    <phoneticPr fontId="3"/>
  </si>
  <si>
    <t>法的FIN→相続傾斜</t>
    <rPh sb="0" eb="2">
      <t>ホウテキ</t>
    </rPh>
    <rPh sb="6" eb="8">
      <t>ソウゾク</t>
    </rPh>
    <rPh sb="8" eb="10">
      <t>ケイシャ</t>
    </rPh>
    <phoneticPr fontId="3"/>
  </si>
  <si>
    <t>　アケ：６０％</t>
    <phoneticPr fontId="3"/>
  </si>
  <si>
    <t>細井前田輝OUT</t>
    <rPh sb="0" eb="2">
      <t>ホソイ</t>
    </rPh>
    <rPh sb="2" eb="4">
      <t>マエダ</t>
    </rPh>
    <rPh sb="4" eb="5">
      <t>テル</t>
    </rPh>
    <phoneticPr fontId="3"/>
  </si>
  <si>
    <t>　回収：３５％（既存のみ３３％）</t>
    <rPh sb="1" eb="3">
      <t>カイシュウ</t>
    </rPh>
    <rPh sb="8" eb="10">
      <t>キゾン</t>
    </rPh>
    <phoneticPr fontId="3"/>
  </si>
  <si>
    <t>　新規：５０％</t>
    <rPh sb="1" eb="3">
      <t>シンキ</t>
    </rPh>
    <phoneticPr fontId="3"/>
  </si>
  <si>
    <t>　前田１６０＆総務他１４０</t>
    <rPh sb="1" eb="3">
      <t>マエダ</t>
    </rPh>
    <rPh sb="7" eb="10">
      <t>ソウムホカ</t>
    </rPh>
    <phoneticPr fontId="3"/>
  </si>
  <si>
    <t>■固定費</t>
    <rPh sb="1" eb="3">
      <t>コテイ</t>
    </rPh>
    <phoneticPr fontId="3"/>
  </si>
  <si>
    <t>家賃</t>
    <rPh sb="0" eb="2">
      <t>ヤチン</t>
    </rPh>
    <phoneticPr fontId="3"/>
  </si>
  <si>
    <t>アルマナ</t>
    <phoneticPr fontId="3"/>
  </si>
  <si>
    <t>リース等</t>
    <rPh sb="3" eb="4">
      <t>トウ</t>
    </rPh>
    <phoneticPr fontId="3"/>
  </si>
  <si>
    <t>ラディックス</t>
    <phoneticPr fontId="3"/>
  </si>
  <si>
    <t>税理士変更</t>
    <rPh sb="0" eb="3">
      <t>ゼイリシ</t>
    </rPh>
    <rPh sb="3" eb="5">
      <t>ヘンコウ</t>
    </rPh>
    <phoneticPr fontId="3"/>
  </si>
  <si>
    <t>その他諸々</t>
    <rPh sb="2" eb="3">
      <t>タ</t>
    </rPh>
    <rPh sb="3" eb="5">
      <t>モロモロ</t>
    </rPh>
    <phoneticPr fontId="3"/>
  </si>
  <si>
    <t>■必要変動費</t>
    <rPh sb="1" eb="3">
      <t>ヒツヨウ</t>
    </rPh>
    <rPh sb="3" eb="6">
      <t>ヘンドウヒ</t>
    </rPh>
    <phoneticPr fontId="3"/>
  </si>
  <si>
    <t>FE広告費</t>
    <rPh sb="2" eb="5">
      <t>コウコクヒ</t>
    </rPh>
    <phoneticPr fontId="3"/>
  </si>
  <si>
    <t>その他広告費</t>
    <rPh sb="2" eb="3">
      <t>タ</t>
    </rPh>
    <rPh sb="3" eb="6">
      <t>コウコクヒ</t>
    </rPh>
    <phoneticPr fontId="3"/>
  </si>
  <si>
    <t>採用費</t>
    <rPh sb="0" eb="2">
      <t>サイヨウ</t>
    </rPh>
    <rPh sb="2" eb="3">
      <t>ヒ</t>
    </rPh>
    <phoneticPr fontId="3"/>
  </si>
  <si>
    <t>山根配当</t>
    <rPh sb="0" eb="2">
      <t>ヤマネ</t>
    </rPh>
    <rPh sb="2" eb="4">
      <t>ハイトウ</t>
    </rPh>
    <phoneticPr fontId="3"/>
  </si>
  <si>
    <t>振込手数料（代行）</t>
    <rPh sb="0" eb="2">
      <t>フリコミ</t>
    </rPh>
    <rPh sb="2" eb="5">
      <t>テスウリョウ</t>
    </rPh>
    <rPh sb="6" eb="8">
      <t>ダイコウ</t>
    </rPh>
    <phoneticPr fontId="3"/>
  </si>
  <si>
    <t>山根７０にあげる</t>
    <rPh sb="0" eb="2">
      <t>ヤマネ</t>
    </rPh>
    <phoneticPr fontId="3"/>
  </si>
  <si>
    <t>その他振込手数料（概算）</t>
    <rPh sb="2" eb="3">
      <t>タ</t>
    </rPh>
    <rPh sb="3" eb="5">
      <t>フリコミ</t>
    </rPh>
    <rPh sb="5" eb="8">
      <t>テスウリョウ</t>
    </rPh>
    <rPh sb="9" eb="11">
      <t>ガイサン</t>
    </rPh>
    <phoneticPr fontId="3"/>
  </si>
  <si>
    <t>■回収変動費</t>
    <rPh sb="1" eb="3">
      <t>カイシュウ</t>
    </rPh>
    <rPh sb="3" eb="6">
      <t>ヘンドウヒ</t>
    </rPh>
    <phoneticPr fontId="3"/>
  </si>
  <si>
    <t>システム</t>
    <phoneticPr fontId="3"/>
  </si>
  <si>
    <t>郵送費</t>
    <rPh sb="0" eb="3">
      <t>ユウソウヒ</t>
    </rPh>
    <phoneticPr fontId="3"/>
  </si>
  <si>
    <t>電話代</t>
    <rPh sb="0" eb="3">
      <t>デンワダイ</t>
    </rPh>
    <phoneticPr fontId="3"/>
  </si>
  <si>
    <t>その他</t>
    <rPh sb="2" eb="3">
      <t>タ</t>
    </rPh>
    <phoneticPr fontId="3"/>
  </si>
  <si>
    <t>スコアリング等</t>
    <rPh sb="6" eb="7">
      <t>トウ</t>
    </rPh>
    <phoneticPr fontId="3"/>
  </si>
  <si>
    <t>■単発イレギュラー経費</t>
    <rPh sb="1" eb="3">
      <t>タンパツ</t>
    </rPh>
    <rPh sb="9" eb="11">
      <t>ケイヒ</t>
    </rPh>
    <phoneticPr fontId="3"/>
  </si>
  <si>
    <t>GMO利益10%</t>
    <rPh sb="3" eb="5">
      <t>リエキ</t>
    </rPh>
    <phoneticPr fontId="3"/>
  </si>
  <si>
    <t>イレギュラー</t>
    <phoneticPr fontId="3"/>
  </si>
  <si>
    <t>賞与</t>
    <rPh sb="0" eb="2">
      <t>ショウヨ</t>
    </rPh>
    <phoneticPr fontId="3"/>
  </si>
  <si>
    <t>（フライリーフ）</t>
    <phoneticPr fontId="3"/>
  </si>
  <si>
    <t>ふっくん＋くさの工務店</t>
    <rPh sb="8" eb="11">
      <t>コウムテン</t>
    </rPh>
    <phoneticPr fontId="3"/>
  </si>
  <si>
    <t>■返金類</t>
    <rPh sb="1" eb="3">
      <t>ヘンキン</t>
    </rPh>
    <rPh sb="3" eb="4">
      <t>ルイ</t>
    </rPh>
    <phoneticPr fontId="3"/>
  </si>
  <si>
    <t>債務整理</t>
    <rPh sb="0" eb="4">
      <t>サイムセイリ</t>
    </rPh>
    <phoneticPr fontId="3"/>
  </si>
  <si>
    <t>他（緊急返金）→イレ扱いとする</t>
    <rPh sb="0" eb="1">
      <t>ホカ</t>
    </rPh>
    <rPh sb="2" eb="4">
      <t>キンキュウ</t>
    </rPh>
    <rPh sb="4" eb="6">
      <t>ヘンキン</t>
    </rPh>
    <rPh sb="10" eb="11">
      <t>アツカ</t>
    </rPh>
    <phoneticPr fontId="3"/>
  </si>
  <si>
    <t>返金増</t>
    <rPh sb="0" eb="2">
      <t>ヘンキン</t>
    </rPh>
    <rPh sb="2" eb="3">
      <t>ゾウ</t>
    </rPh>
    <phoneticPr fontId="3"/>
  </si>
  <si>
    <t>■余剰経費＆投資</t>
    <rPh sb="1" eb="3">
      <t>ヨジョウ</t>
    </rPh>
    <rPh sb="3" eb="5">
      <t>ケイヒ</t>
    </rPh>
    <rPh sb="6" eb="8">
      <t>トウシ</t>
    </rPh>
    <phoneticPr fontId="3"/>
  </si>
  <si>
    <t>タクシー代</t>
    <rPh sb="4" eb="5">
      <t>ダイ</t>
    </rPh>
    <phoneticPr fontId="3"/>
  </si>
  <si>
    <t>カード代</t>
    <rPh sb="3" eb="4">
      <t>ダイ</t>
    </rPh>
    <phoneticPr fontId="3"/>
  </si>
  <si>
    <t>教育投資</t>
    <rPh sb="0" eb="2">
      <t>キョウイク</t>
    </rPh>
    <rPh sb="2" eb="4">
      <t>トウシ</t>
    </rPh>
    <phoneticPr fontId="3"/>
  </si>
  <si>
    <t>回収WEBサイト</t>
    <rPh sb="0" eb="2">
      <t>カイシュウ</t>
    </rPh>
    <phoneticPr fontId="3"/>
  </si>
  <si>
    <t>前田母</t>
    <rPh sb="0" eb="2">
      <t>マエダ</t>
    </rPh>
    <rPh sb="2" eb="3">
      <t>ハハ</t>
    </rPh>
    <phoneticPr fontId="3"/>
  </si>
  <si>
    <t>中目家賃</t>
    <rPh sb="0" eb="2">
      <t>ナカメ</t>
    </rPh>
    <rPh sb="2" eb="4">
      <t>ヤチン</t>
    </rPh>
    <phoneticPr fontId="3"/>
  </si>
  <si>
    <t>役員貸付（非経費）</t>
    <rPh sb="0" eb="4">
      <t>ヤクインカシツケ</t>
    </rPh>
    <rPh sb="5" eb="6">
      <t>ヒ</t>
    </rPh>
    <rPh sb="6" eb="8">
      <t>ケイヒ</t>
    </rPh>
    <phoneticPr fontId="3"/>
  </si>
  <si>
    <t>税込売上</t>
    <rPh sb="0" eb="2">
      <t>ゼイコ</t>
    </rPh>
    <rPh sb="2" eb="4">
      <t>ウリアゲ</t>
    </rPh>
    <phoneticPr fontId="3"/>
  </si>
  <si>
    <t>経費合計</t>
    <rPh sb="0" eb="2">
      <t>ケイヒ</t>
    </rPh>
    <rPh sb="2" eb="4">
      <t>ゴウケイ</t>
    </rPh>
    <phoneticPr fontId="3"/>
  </si>
  <si>
    <t>税抜売上</t>
    <rPh sb="0" eb="2">
      <t>ゼイヌ</t>
    </rPh>
    <rPh sb="2" eb="4">
      <t>ウリア</t>
    </rPh>
    <phoneticPr fontId="3"/>
  </si>
  <si>
    <t>税抜経費概算</t>
    <rPh sb="0" eb="2">
      <t>ゼイヌ</t>
    </rPh>
    <rPh sb="2" eb="4">
      <t>ケイヒ</t>
    </rPh>
    <rPh sb="4" eb="6">
      <t>ガイサン</t>
    </rPh>
    <phoneticPr fontId="3"/>
  </si>
  <si>
    <t>年間利益</t>
    <rPh sb="0" eb="2">
      <t>ネンカン</t>
    </rPh>
    <rPh sb="2" eb="4">
      <t>リエキ</t>
    </rPh>
    <phoneticPr fontId="3"/>
  </si>
  <si>
    <t>差分（会計上利益）</t>
    <rPh sb="0" eb="2">
      <t>サブン</t>
    </rPh>
    <rPh sb="3" eb="6">
      <t>カイケイジョウ</t>
    </rPh>
    <rPh sb="6" eb="8">
      <t>リエキ</t>
    </rPh>
    <phoneticPr fontId="3"/>
  </si>
  <si>
    <t>10%ライン</t>
    <phoneticPr fontId="3"/>
  </si>
  <si>
    <t>メモ月払税２５０月受税４００→差分１５０が消費税納税。</t>
    <rPh sb="2" eb="3">
      <t>ツキ</t>
    </rPh>
    <rPh sb="3" eb="4">
      <t>ハラ</t>
    </rPh>
    <rPh sb="4" eb="5">
      <t>ゼイ</t>
    </rPh>
    <rPh sb="8" eb="9">
      <t>ツキ</t>
    </rPh>
    <rPh sb="9" eb="10">
      <t>ウ</t>
    </rPh>
    <rPh sb="10" eb="11">
      <t>ゼイ</t>
    </rPh>
    <rPh sb="15" eb="17">
      <t>サブン</t>
    </rPh>
    <rPh sb="21" eb="24">
      <t>ショウヒゼイ</t>
    </rPh>
    <rPh sb="24" eb="26">
      <t>ノウゼイ</t>
    </rPh>
    <phoneticPr fontId="3"/>
  </si>
  <si>
    <t>☆利益</t>
    <rPh sb="1" eb="3">
      <t>リエキ</t>
    </rPh>
    <phoneticPr fontId="3"/>
  </si>
  <si>
    <t>営業利益（債務整理あり）(→５００死守）</t>
    <rPh sb="0" eb="4">
      <t>エイギョウリエキ</t>
    </rPh>
    <rPh sb="5" eb="7">
      <t>サイム</t>
    </rPh>
    <rPh sb="7" eb="9">
      <t>セイリ</t>
    </rPh>
    <rPh sb="17" eb="19">
      <t>シシュ</t>
    </rPh>
    <phoneticPr fontId="3"/>
  </si>
  <si>
    <t>利益率</t>
    <rPh sb="0" eb="3">
      <t>リエキリツ</t>
    </rPh>
    <phoneticPr fontId="3"/>
  </si>
  <si>
    <t>営業利益（過剰＆イレなし）</t>
    <rPh sb="0" eb="4">
      <t>エイギョウリエキ</t>
    </rPh>
    <rPh sb="5" eb="7">
      <t>カジョウ</t>
    </rPh>
    <phoneticPr fontId="3"/>
  </si>
  <si>
    <t>営業利益（債務整理なし）</t>
    <rPh sb="0" eb="4">
      <t>エイギョウリエキ</t>
    </rPh>
    <rPh sb="5" eb="9">
      <t>サイムセイリ</t>
    </rPh>
    <phoneticPr fontId="3"/>
  </si>
  <si>
    <t>営業利益（債整×＆過剰＆イレ×）</t>
    <rPh sb="0" eb="4">
      <t>エイギョウリエキ</t>
    </rPh>
    <phoneticPr fontId="3"/>
  </si>
  <si>
    <t>税金</t>
    <rPh sb="0" eb="2">
      <t>ゼイキン</t>
    </rPh>
    <phoneticPr fontId="3"/>
  </si>
  <si>
    <t>残り</t>
    <rPh sb="0" eb="1">
      <t>ノコ</t>
    </rPh>
    <phoneticPr fontId="3"/>
  </si>
  <si>
    <t>☆事業部別粗利（売上-人件費-固有経費）</t>
    <rPh sb="1" eb="4">
      <t>ジギョウブ</t>
    </rPh>
    <rPh sb="4" eb="5">
      <t>ベツ</t>
    </rPh>
    <rPh sb="5" eb="7">
      <t>アラリ</t>
    </rPh>
    <rPh sb="8" eb="10">
      <t>ウリアゲ</t>
    </rPh>
    <rPh sb="11" eb="14">
      <t>ジンケンヒ</t>
    </rPh>
    <rPh sb="15" eb="19">
      <t>コユウケイヒ</t>
    </rPh>
    <phoneticPr fontId="3"/>
  </si>
  <si>
    <t>刑事</t>
    <rPh sb="0" eb="2">
      <t>ケイジ</t>
    </rPh>
    <phoneticPr fontId="3"/>
  </si>
  <si>
    <t>アケ</t>
    <phoneticPr fontId="3"/>
  </si>
  <si>
    <t>回収既存</t>
    <rPh sb="0" eb="2">
      <t>カイシュウ</t>
    </rPh>
    <rPh sb="2" eb="4">
      <t>キゾン</t>
    </rPh>
    <phoneticPr fontId="3"/>
  </si>
  <si>
    <t>回収GMO</t>
    <rPh sb="0" eb="2">
      <t>カイシュウ</t>
    </rPh>
    <phoneticPr fontId="3"/>
  </si>
  <si>
    <t>回収新規</t>
    <rPh sb="0" eb="2">
      <t>カイシュウ</t>
    </rPh>
    <rPh sb="2" eb="4">
      <t>シンキ</t>
    </rPh>
    <phoneticPr fontId="3"/>
  </si>
  <si>
    <t>相続</t>
    <rPh sb="0" eb="2">
      <t>ソウゾク</t>
    </rPh>
    <phoneticPr fontId="3"/>
  </si>
  <si>
    <t>新規事業</t>
    <rPh sb="0" eb="2">
      <t>シンキ</t>
    </rPh>
    <rPh sb="2" eb="4">
      <t>ジギョウ</t>
    </rPh>
    <phoneticPr fontId="3"/>
  </si>
  <si>
    <t>☆実費</t>
    <rPh sb="1" eb="3">
      <t>ジッピ</t>
    </rPh>
    <phoneticPr fontId="3"/>
  </si>
  <si>
    <t>■入金</t>
    <rPh sb="1" eb="3">
      <t>ニュウキン</t>
    </rPh>
    <phoneticPr fontId="3"/>
  </si>
  <si>
    <t>アケ実費入金</t>
    <rPh sb="2" eb="4">
      <t>ジッピ</t>
    </rPh>
    <rPh sb="4" eb="6">
      <t>ニュウキン</t>
    </rPh>
    <phoneticPr fontId="3"/>
  </si>
  <si>
    <t>その他入金</t>
    <rPh sb="2" eb="3">
      <t>ホカ</t>
    </rPh>
    <rPh sb="3" eb="5">
      <t>ニュウキン</t>
    </rPh>
    <phoneticPr fontId="3"/>
  </si>
  <si>
    <t>■出金</t>
    <rPh sb="1" eb="3">
      <t>シュッキン</t>
    </rPh>
    <phoneticPr fontId="3"/>
  </si>
  <si>
    <t>アケ実費出金</t>
    <rPh sb="2" eb="4">
      <t>ジッピ</t>
    </rPh>
    <rPh sb="4" eb="6">
      <t>シュッキン</t>
    </rPh>
    <phoneticPr fontId="3"/>
  </si>
  <si>
    <t>※３１日未参入</t>
    <rPh sb="3" eb="4">
      <t>ニチ</t>
    </rPh>
    <rPh sb="4" eb="7">
      <t>ミサンニュウ</t>
    </rPh>
    <phoneticPr fontId="3"/>
  </si>
  <si>
    <t>その他出金</t>
    <rPh sb="2" eb="3">
      <t>タ</t>
    </rPh>
    <rPh sb="3" eb="5">
      <t>シュッキン</t>
    </rPh>
    <phoneticPr fontId="3"/>
  </si>
  <si>
    <t>実費小計</t>
    <rPh sb="0" eb="2">
      <t>ジッピ</t>
    </rPh>
    <rPh sb="2" eb="4">
      <t>ショウケイ</t>
    </rPh>
    <phoneticPr fontId="3"/>
  </si>
  <si>
    <t>☆税金</t>
    <rPh sb="1" eb="3">
      <t>ゼイキン</t>
    </rPh>
    <phoneticPr fontId="3"/>
  </si>
  <si>
    <t>消費税</t>
    <rPh sb="0" eb="3">
      <t>ショウヒゼイ</t>
    </rPh>
    <phoneticPr fontId="3"/>
  </si>
  <si>
    <t>他</t>
    <rPh sb="0" eb="1">
      <t>ホカ</t>
    </rPh>
    <phoneticPr fontId="3"/>
  </si>
  <si>
    <t>源泉所得税</t>
    <rPh sb="0" eb="2">
      <t>ゲンセン</t>
    </rPh>
    <rPh sb="2" eb="5">
      <t>ショトクゼイ</t>
    </rPh>
    <phoneticPr fontId="3"/>
  </si>
  <si>
    <t>☆返済（元金）</t>
    <rPh sb="1" eb="3">
      <t>ヘンサイ</t>
    </rPh>
    <rPh sb="4" eb="6">
      <t>ガンキン</t>
    </rPh>
    <phoneticPr fontId="3"/>
  </si>
  <si>
    <t>三井</t>
    <rPh sb="0" eb="2">
      <t>ミツイ</t>
    </rPh>
    <phoneticPr fontId="3"/>
  </si>
  <si>
    <t>城南</t>
    <rPh sb="0" eb="2">
      <t>ジョウナン</t>
    </rPh>
    <phoneticPr fontId="3"/>
  </si>
  <si>
    <t>公庫</t>
    <rPh sb="0" eb="2">
      <t>コウコ</t>
    </rPh>
    <phoneticPr fontId="3"/>
  </si>
  <si>
    <t>☆役員貸付</t>
    <rPh sb="1" eb="3">
      <t>ヤクイン</t>
    </rPh>
    <rPh sb="3" eb="5">
      <t>カシツケ</t>
    </rPh>
    <phoneticPr fontId="3"/>
  </si>
  <si>
    <t>前田妻</t>
    <rPh sb="0" eb="2">
      <t>マエダ</t>
    </rPh>
    <rPh sb="2" eb="3">
      <t>ツマ</t>
    </rPh>
    <phoneticPr fontId="3"/>
  </si>
  <si>
    <t>前田本人</t>
    <rPh sb="0" eb="2">
      <t>マエダ</t>
    </rPh>
    <rPh sb="2" eb="4">
      <t>ホンニン</t>
    </rPh>
    <phoneticPr fontId="3"/>
  </si>
  <si>
    <t>☆キャッシュフロー</t>
    <phoneticPr fontId="3"/>
  </si>
  <si>
    <t>返済抜</t>
    <rPh sb="0" eb="2">
      <t>ヘンサイ</t>
    </rPh>
    <rPh sb="2" eb="3">
      <t>ヌ</t>
    </rPh>
    <phoneticPr fontId="3"/>
  </si>
  <si>
    <t>返済込</t>
    <rPh sb="0" eb="2">
      <t>ヘンサイ</t>
    </rPh>
    <rPh sb="2" eb="3">
      <t>コ</t>
    </rPh>
    <phoneticPr fontId="3"/>
  </si>
  <si>
    <t>最低経費</t>
    <rPh sb="0" eb="2">
      <t>サイテイ</t>
    </rPh>
    <rPh sb="2" eb="4">
      <t>ケイヒ</t>
    </rPh>
    <phoneticPr fontId="3"/>
  </si>
  <si>
    <t>総務人事前田人件費</t>
    <rPh sb="0" eb="2">
      <t>ソウム</t>
    </rPh>
    <rPh sb="2" eb="4">
      <t>ジンジ</t>
    </rPh>
    <rPh sb="4" eb="6">
      <t>マエダ</t>
    </rPh>
    <rPh sb="6" eb="9">
      <t>ジンケンヒ</t>
    </rPh>
    <phoneticPr fontId="3"/>
  </si>
  <si>
    <t>自宅家賃</t>
    <rPh sb="0" eb="2">
      <t>ジタク</t>
    </rPh>
    <rPh sb="2" eb="4">
      <t>ヤチン</t>
    </rPh>
    <phoneticPr fontId="3"/>
  </si>
  <si>
    <t>リース類</t>
    <rPh sb="3" eb="4">
      <t>ルイ</t>
    </rPh>
    <phoneticPr fontId="3"/>
  </si>
  <si>
    <t>アケの利益でオーバーヘッド確保</t>
    <rPh sb="3" eb="5">
      <t>リエキ</t>
    </rPh>
    <rPh sb="13" eb="15">
      <t>カクホ</t>
    </rPh>
    <phoneticPr fontId="3"/>
  </si>
  <si>
    <t>ここから回収で利益をアドオン</t>
    <rPh sb="4" eb="6">
      <t>カイシュウ</t>
    </rPh>
    <rPh sb="7" eb="9">
      <t>リエキ</t>
    </rPh>
    <phoneticPr fontId="3"/>
  </si>
  <si>
    <t>刑事は＋α</t>
    <rPh sb="0" eb="2">
      <t>ケイジ</t>
    </rPh>
    <phoneticPr fontId="3"/>
  </si>
  <si>
    <t>→</t>
    <phoneticPr fontId="3"/>
  </si>
  <si>
    <t>人件費率３０％</t>
    <rPh sb="0" eb="4">
      <t>ジンケンヒリツ</t>
    </rPh>
    <phoneticPr fontId="3"/>
  </si>
  <si>
    <t>→弁３事務３張ってゆうすけ配当込</t>
    <rPh sb="1" eb="2">
      <t>ベン</t>
    </rPh>
    <rPh sb="3" eb="5">
      <t>ジム</t>
    </rPh>
    <rPh sb="6" eb="7">
      <t>ハ</t>
    </rPh>
    <rPh sb="13" eb="15">
      <t>ハイトウ</t>
    </rPh>
    <rPh sb="15" eb="16">
      <t>コミ</t>
    </rPh>
    <phoneticPr fontId="3"/>
  </si>
  <si>
    <t>売上</t>
    <rPh sb="0" eb="2">
      <t>ウリアゲ</t>
    </rPh>
    <phoneticPr fontId="3"/>
  </si>
  <si>
    <t>売上（カーサ＋GMO）</t>
    <rPh sb="0" eb="2">
      <t>ウリアゲ</t>
    </rPh>
    <phoneticPr fontId="3"/>
  </si>
  <si>
    <t>売上（月１５受任）</t>
    <rPh sb="0" eb="2">
      <t>ウリアゲ</t>
    </rPh>
    <rPh sb="3" eb="4">
      <t>ツキ</t>
    </rPh>
    <rPh sb="6" eb="8">
      <t>ジュニン</t>
    </rPh>
    <phoneticPr fontId="3"/>
  </si>
  <si>
    <t>広告費４２％</t>
    <rPh sb="0" eb="3">
      <t>コウコクヒ</t>
    </rPh>
    <phoneticPr fontId="3"/>
  </si>
  <si>
    <t>CPA</t>
    <phoneticPr fontId="3"/>
  </si>
  <si>
    <t>利益</t>
    <rPh sb="0" eb="2">
      <t>リエキ</t>
    </rPh>
    <phoneticPr fontId="3"/>
  </si>
  <si>
    <t>営業利益</t>
    <rPh sb="0" eb="4">
      <t>エイギョウリエキ</t>
    </rPh>
    <phoneticPr fontId="3"/>
  </si>
  <si>
    <t>備考</t>
    <rPh sb="0" eb="2">
      <t>ビコウ</t>
    </rPh>
    <phoneticPr fontId="3"/>
  </si>
  <si>
    <t>刑事×</t>
    <rPh sb="0" eb="2">
      <t>ケイジ</t>
    </rPh>
    <phoneticPr fontId="3"/>
  </si>
  <si>
    <t>刑事△</t>
    <rPh sb="0" eb="2">
      <t>ケイジ</t>
    </rPh>
    <phoneticPr fontId="3"/>
  </si>
  <si>
    <t>細井篠原斎藤</t>
    <rPh sb="0" eb="2">
      <t>ホソイ</t>
    </rPh>
    <rPh sb="2" eb="4">
      <t>シノハラ</t>
    </rPh>
    <rPh sb="4" eb="6">
      <t>サイトウ</t>
    </rPh>
    <phoneticPr fontId="3"/>
  </si>
  <si>
    <t>刑事〇</t>
    <rPh sb="0" eb="2">
      <t>ケイジ</t>
    </rPh>
    <phoneticPr fontId="3"/>
  </si>
  <si>
    <t>債権回収</t>
    <rPh sb="0" eb="2">
      <t>サイケン</t>
    </rPh>
    <rPh sb="2" eb="4">
      <t>カイシュウ</t>
    </rPh>
    <phoneticPr fontId="3"/>
  </si>
  <si>
    <t>前後</t>
    <rPh sb="0" eb="2">
      <t>ゼンゴ</t>
    </rPh>
    <phoneticPr fontId="3"/>
  </si>
  <si>
    <t>経費</t>
    <rPh sb="0" eb="2">
      <t>ケイヒ</t>
    </rPh>
    <phoneticPr fontId="3"/>
  </si>
  <si>
    <t>人件費</t>
    <rPh sb="0" eb="3">
      <t>ジンケンヒ</t>
    </rPh>
    <phoneticPr fontId="3"/>
  </si>
  <si>
    <t>目安３０％目標</t>
    <rPh sb="0" eb="2">
      <t>メヤス</t>
    </rPh>
    <rPh sb="5" eb="7">
      <t>モクヒョウ</t>
    </rPh>
    <phoneticPr fontId="3"/>
  </si>
  <si>
    <t>目安１５％目標</t>
    <rPh sb="0" eb="2">
      <t>メヤス</t>
    </rPh>
    <rPh sb="5" eb="7">
      <t>モクヒョウ</t>
    </rPh>
    <phoneticPr fontId="3"/>
  </si>
  <si>
    <t>その他経費</t>
    <rPh sb="2" eb="3">
      <t>タ</t>
    </rPh>
    <rPh sb="3" eb="5">
      <t>ケイヒ</t>
    </rPh>
    <phoneticPr fontId="3"/>
  </si>
  <si>
    <t>※その他経費の３つで３０％目安</t>
    <rPh sb="3" eb="6">
      <t>タケイヒ</t>
    </rPh>
    <rPh sb="13" eb="15">
      <t>メヤス</t>
    </rPh>
    <phoneticPr fontId="3"/>
  </si>
  <si>
    <t>月次収支サマリー(26年2月時点）</t>
    <rPh sb="0" eb="2">
      <t>ゲツジ</t>
    </rPh>
    <rPh sb="2" eb="4">
      <t>シュウシ</t>
    </rPh>
    <rPh sb="11" eb="12">
      <t>ネン</t>
    </rPh>
    <rPh sb="13" eb="14">
      <t>ガツ</t>
    </rPh>
    <rPh sb="14" eb="16">
      <t>ジテン</t>
    </rPh>
    <phoneticPr fontId="3"/>
  </si>
  <si>
    <t>（内訳）</t>
    <rPh sb="1" eb="3">
      <t>ウチワケ</t>
    </rPh>
    <phoneticPr fontId="3"/>
  </si>
  <si>
    <t>株式会社エラン</t>
    <rPh sb="0" eb="4">
      <t>カブシキカイシャ</t>
    </rPh>
    <phoneticPr fontId="3"/>
  </si>
  <si>
    <t>株式会社プレミアムウォーター</t>
    <rPh sb="0" eb="4">
      <t>カブシキカイシャ</t>
    </rPh>
    <phoneticPr fontId="3"/>
  </si>
  <si>
    <t>株式会社casa</t>
    <rPh sb="0" eb="4">
      <t>カブシキカイシャ</t>
    </rPh>
    <phoneticPr fontId="3"/>
  </si>
  <si>
    <t>レンティオ株式会社</t>
    <rPh sb="5" eb="9">
      <t>カブシキカイシャ</t>
    </rPh>
    <phoneticPr fontId="3"/>
  </si>
  <si>
    <t>小山株式会社</t>
    <rPh sb="0" eb="2">
      <t>コヤマ</t>
    </rPh>
    <rPh sb="2" eb="6">
      <t>カブシキガイシャ</t>
    </rPh>
    <phoneticPr fontId="3"/>
  </si>
  <si>
    <t>株式会社ベネフィットジャパン</t>
    <rPh sb="0" eb="4">
      <t>カブシキガイシャ</t>
    </rPh>
    <phoneticPr fontId="3"/>
  </si>
  <si>
    <t>その他小計</t>
    <rPh sb="2" eb="3">
      <t>タ</t>
    </rPh>
    <rPh sb="3" eb="5">
      <t>ショウケイ</t>
    </rPh>
    <phoneticPr fontId="3"/>
  </si>
  <si>
    <t>粗利</t>
    <rPh sb="0" eb="2">
      <t>アラリ</t>
    </rPh>
    <phoneticPr fontId="3"/>
  </si>
  <si>
    <t>収支（2月）</t>
    <rPh sb="0" eb="2">
      <t>シュウシ</t>
    </rPh>
    <rPh sb="4" eb="5">
      <t>ガツ</t>
    </rPh>
    <phoneticPr fontId="12"/>
  </si>
  <si>
    <t>収入</t>
    <rPh sb="0" eb="2">
      <t>シュウニュウ</t>
    </rPh>
    <phoneticPr fontId="12"/>
  </si>
  <si>
    <t>項目</t>
    <rPh sb="0" eb="2">
      <t>コウモク</t>
    </rPh>
    <phoneticPr fontId="12"/>
  </si>
  <si>
    <t>金額</t>
    <rPh sb="0" eb="2">
      <t>キンガク</t>
    </rPh>
    <phoneticPr fontId="12"/>
  </si>
  <si>
    <t>備考</t>
    <rPh sb="0" eb="2">
      <t>ビコウ</t>
    </rPh>
    <phoneticPr fontId="12"/>
  </si>
  <si>
    <t>エラン（A）</t>
  </si>
  <si>
    <t>エランその他</t>
    <rPh sb="5" eb="6">
      <t>タ</t>
    </rPh>
    <phoneticPr fontId="3"/>
  </si>
  <si>
    <t>川島</t>
    <rPh sb="0" eb="2">
      <t>カワシマ</t>
    </rPh>
    <phoneticPr fontId="3"/>
  </si>
  <si>
    <t>エラン（B）</t>
  </si>
  <si>
    <t>sms</t>
    <phoneticPr fontId="3"/>
  </si>
  <si>
    <t>2/18￥953012入金あり　ベンヒ23％</t>
    <rPh sb="11" eb="13">
      <t>ニュウキン</t>
    </rPh>
    <phoneticPr fontId="3"/>
  </si>
  <si>
    <t>山本</t>
    <rPh sb="0" eb="2">
      <t>ヤマモト</t>
    </rPh>
    <phoneticPr fontId="3"/>
  </si>
  <si>
    <t>エラン（C）</t>
  </si>
  <si>
    <t>合計（税抜き）</t>
    <rPh sb="0" eb="2">
      <t>ゴウケイ</t>
    </rPh>
    <rPh sb="3" eb="5">
      <t>ゼイヌ</t>
    </rPh>
    <phoneticPr fontId="12"/>
  </si>
  <si>
    <t>香美</t>
    <rPh sb="0" eb="2">
      <t>カガミ</t>
    </rPh>
    <phoneticPr fontId="3"/>
  </si>
  <si>
    <t>エランサービス</t>
  </si>
  <si>
    <t>帯島</t>
    <rPh sb="0" eb="2">
      <t>オビシマ</t>
    </rPh>
    <phoneticPr fontId="3"/>
  </si>
  <si>
    <t>小山</t>
    <rPh sb="0" eb="2">
      <t>コヤマ</t>
    </rPh>
    <phoneticPr fontId="1"/>
  </si>
  <si>
    <t>堀</t>
    <rPh sb="0" eb="1">
      <t>ホリ</t>
    </rPh>
    <phoneticPr fontId="3"/>
  </si>
  <si>
    <t>あもうA</t>
  </si>
  <si>
    <t>支出</t>
    <rPh sb="0" eb="2">
      <t>シシュツ</t>
    </rPh>
    <phoneticPr fontId="12"/>
  </si>
  <si>
    <t>笠原</t>
    <rPh sb="0" eb="2">
      <t>カサハラ</t>
    </rPh>
    <phoneticPr fontId="3"/>
  </si>
  <si>
    <t>あもうB</t>
  </si>
  <si>
    <t>佐口</t>
    <rPh sb="0" eb="2">
      <t>サグチ</t>
    </rPh>
    <phoneticPr fontId="3"/>
  </si>
  <si>
    <t>ブランディング</t>
  </si>
  <si>
    <t>人件費</t>
    <phoneticPr fontId="3"/>
  </si>
  <si>
    <t>回収メンバー歩合15万込み</t>
    <rPh sb="0" eb="2">
      <t>カイシュウ</t>
    </rPh>
    <rPh sb="6" eb="8">
      <t>ブアイ</t>
    </rPh>
    <rPh sb="10" eb="11">
      <t>マン</t>
    </rPh>
    <rPh sb="11" eb="12">
      <t>コ</t>
    </rPh>
    <phoneticPr fontId="3"/>
  </si>
  <si>
    <t>布野</t>
    <rPh sb="0" eb="2">
      <t>フノ</t>
    </rPh>
    <phoneticPr fontId="3"/>
  </si>
  <si>
    <t>ベネフィット</t>
  </si>
  <si>
    <t>アタラヨ</t>
    <phoneticPr fontId="3"/>
  </si>
  <si>
    <t>88万（7割負担）</t>
    <rPh sb="2" eb="3">
      <t>マン</t>
    </rPh>
    <rPh sb="5" eb="6">
      <t>ワリ</t>
    </rPh>
    <rPh sb="6" eb="8">
      <t>フタン</t>
    </rPh>
    <phoneticPr fontId="3"/>
  </si>
  <si>
    <t>社保込み</t>
    <rPh sb="0" eb="3">
      <t>シャホコ</t>
    </rPh>
    <phoneticPr fontId="3"/>
  </si>
  <si>
    <t>マイズ</t>
  </si>
  <si>
    <t>189310（5割負担）</t>
    <rPh sb="8" eb="9">
      <t>ワリ</t>
    </rPh>
    <rPh sb="9" eb="11">
      <t>フタン</t>
    </rPh>
    <phoneticPr fontId="3"/>
  </si>
  <si>
    <t>瀧ノ上</t>
    <rPh sb="0" eb="1">
      <t>タキ</t>
    </rPh>
    <rPh sb="2" eb="3">
      <t>ウエ</t>
    </rPh>
    <phoneticPr fontId="3"/>
  </si>
  <si>
    <t>マイナビ（バイト）</t>
  </si>
  <si>
    <t>コピー機</t>
    <rPh sb="3" eb="4">
      <t>キ</t>
    </rPh>
    <phoneticPr fontId="3"/>
  </si>
  <si>
    <t>使用料15840</t>
    <rPh sb="0" eb="3">
      <t>シヨウリョウ</t>
    </rPh>
    <phoneticPr fontId="3"/>
  </si>
  <si>
    <t>大岩</t>
    <rPh sb="0" eb="2">
      <t>オオイワ</t>
    </rPh>
    <phoneticPr fontId="3"/>
  </si>
  <si>
    <t>マイナビ（転職）</t>
    <rPh sb="5" eb="7">
      <t>テンショク</t>
    </rPh>
    <phoneticPr fontId="1"/>
  </si>
  <si>
    <t>エラン支払督促実費</t>
    <rPh sb="3" eb="7">
      <t>シハライトクソク</t>
    </rPh>
    <rPh sb="7" eb="9">
      <t>ジッピ</t>
    </rPh>
    <phoneticPr fontId="3"/>
  </si>
  <si>
    <t>南九</t>
    <rPh sb="0" eb="2">
      <t>ナンキュウ</t>
    </rPh>
    <phoneticPr fontId="1"/>
  </si>
  <si>
    <t>ホムコム</t>
    <phoneticPr fontId="3"/>
  </si>
  <si>
    <t>使用料16500</t>
    <rPh sb="0" eb="3">
      <t>シヨウリョウ</t>
    </rPh>
    <phoneticPr fontId="3"/>
  </si>
  <si>
    <t>ハウスリーブ</t>
  </si>
  <si>
    <t>郵送代</t>
    <rPh sb="0" eb="3">
      <t>ユウソウダイ</t>
    </rPh>
    <phoneticPr fontId="3"/>
  </si>
  <si>
    <t>GMO</t>
  </si>
  <si>
    <t>自動織機レンタル代</t>
    <rPh sb="0" eb="2">
      <t>ジドウ</t>
    </rPh>
    <rPh sb="2" eb="4">
      <t>ショッキ</t>
    </rPh>
    <rPh sb="8" eb="9">
      <t>ダイ</t>
    </rPh>
    <phoneticPr fontId="3"/>
  </si>
  <si>
    <t>レンティオA</t>
  </si>
  <si>
    <t>ｓｍｓ</t>
    <phoneticPr fontId="3"/>
  </si>
  <si>
    <t>ブラストメール込み（16500）</t>
    <rPh sb="7" eb="8">
      <t>コ</t>
    </rPh>
    <phoneticPr fontId="3"/>
  </si>
  <si>
    <t>レンティオA（返却）</t>
    <rPh sb="7" eb="9">
      <t>ヘンキャク</t>
    </rPh>
    <phoneticPr fontId="1"/>
  </si>
  <si>
    <t>ｓｍｓ(双方向)</t>
    <rPh sb="4" eb="7">
      <t>ソウホウコウ</t>
    </rPh>
    <phoneticPr fontId="3"/>
  </si>
  <si>
    <t>7末解約（契約期間の縛りがあったため）</t>
    <rPh sb="1" eb="2">
      <t>マツ</t>
    </rPh>
    <rPh sb="2" eb="4">
      <t>カイヤク</t>
    </rPh>
    <rPh sb="5" eb="9">
      <t>ケイヤクキカン</t>
    </rPh>
    <rPh sb="10" eb="11">
      <t>シバ</t>
    </rPh>
    <phoneticPr fontId="3"/>
  </si>
  <si>
    <t>レンティオB</t>
  </si>
  <si>
    <t>ブルービーン</t>
    <phoneticPr fontId="3"/>
  </si>
  <si>
    <t>レンティオB（返却）</t>
    <rPh sb="7" eb="9">
      <t>ヘンキャク</t>
    </rPh>
    <phoneticPr fontId="1"/>
  </si>
  <si>
    <t>チャットプラス㈱</t>
    <phoneticPr fontId="3"/>
  </si>
  <si>
    <t>3月解約</t>
    <rPh sb="1" eb="2">
      <t>ガツ</t>
    </rPh>
    <rPh sb="2" eb="4">
      <t>カイヤク</t>
    </rPh>
    <phoneticPr fontId="3"/>
  </si>
  <si>
    <t>シンフォニカル</t>
  </si>
  <si>
    <t>電話代</t>
    <rPh sb="0" eb="2">
      <t>デンワ</t>
    </rPh>
    <rPh sb="2" eb="3">
      <t>ダイ</t>
    </rPh>
    <phoneticPr fontId="3"/>
  </si>
  <si>
    <t>312,539（8割負担）</t>
    <rPh sb="9" eb="10">
      <t>ワリ</t>
    </rPh>
    <rPh sb="10" eb="12">
      <t>フタン</t>
    </rPh>
    <phoneticPr fontId="3"/>
  </si>
  <si>
    <t>カーサ</t>
  </si>
  <si>
    <t>島田さん</t>
    <rPh sb="0" eb="2">
      <t>シマダ</t>
    </rPh>
    <phoneticPr fontId="3"/>
  </si>
  <si>
    <t>手数料￥１３０</t>
    <phoneticPr fontId="3"/>
  </si>
  <si>
    <t>MP</t>
  </si>
  <si>
    <t>振込手数料</t>
    <rPh sb="0" eb="2">
      <t>フリコミ</t>
    </rPh>
    <rPh sb="2" eb="5">
      <t>テスウリョウ</t>
    </rPh>
    <phoneticPr fontId="3"/>
  </si>
  <si>
    <t>仮</t>
    <rPh sb="0" eb="1">
      <t>カリ</t>
    </rPh>
    <phoneticPr fontId="3"/>
  </si>
  <si>
    <t>東上セレモ</t>
    <rPh sb="0" eb="2">
      <t>トウジョウ</t>
    </rPh>
    <phoneticPr fontId="1"/>
  </si>
  <si>
    <t>雑費</t>
    <rPh sb="0" eb="2">
      <t>ザッピ</t>
    </rPh>
    <phoneticPr fontId="3"/>
  </si>
  <si>
    <t>クラス</t>
  </si>
  <si>
    <t>合計</t>
    <rPh sb="0" eb="2">
      <t>ゴウケイ</t>
    </rPh>
    <phoneticPr fontId="12"/>
  </si>
  <si>
    <t>ラクーン</t>
  </si>
  <si>
    <t>ライフスタイルウォーター</t>
  </si>
  <si>
    <t>PW</t>
  </si>
  <si>
    <t>収入金額合計(税込み)</t>
    <rPh sb="0" eb="2">
      <t>シュウニュウ</t>
    </rPh>
    <rPh sb="2" eb="4">
      <t>キンガク</t>
    </rPh>
    <rPh sb="4" eb="6">
      <t>ゴウケイ</t>
    </rPh>
    <rPh sb="7" eb="9">
      <t>ゼイコ</t>
    </rPh>
    <phoneticPr fontId="12"/>
  </si>
  <si>
    <t>支出金額合計</t>
    <rPh sb="0" eb="2">
      <t>シシュツ</t>
    </rPh>
    <rPh sb="2" eb="4">
      <t>キンガク</t>
    </rPh>
    <rPh sb="4" eb="6">
      <t>ゴウケイ</t>
    </rPh>
    <phoneticPr fontId="12"/>
  </si>
  <si>
    <t>差し引き金額</t>
    <rPh sb="0" eb="1">
      <t>サ</t>
    </rPh>
    <rPh sb="2" eb="3">
      <t>ヒ</t>
    </rPh>
    <rPh sb="4" eb="6">
      <t>キンガク</t>
    </rPh>
    <phoneticPr fontId="12"/>
  </si>
  <si>
    <t>人件費率</t>
    <rPh sb="0" eb="4">
      <t>ジンケンヒリツ</t>
    </rPh>
    <phoneticPr fontId="3"/>
  </si>
  <si>
    <t>経費率</t>
    <rPh sb="0" eb="3">
      <t>ケイヒリツ</t>
    </rPh>
    <phoneticPr fontId="3"/>
  </si>
  <si>
    <t>主要クライアント</t>
    <rPh sb="0" eb="2">
      <t>シュヨウ</t>
    </rPh>
    <phoneticPr fontId="3"/>
  </si>
  <si>
    <t>プレミアムウォーター株式会社</t>
    <rPh sb="10" eb="14">
      <t>カブシキカイシャ</t>
    </rPh>
    <phoneticPr fontId="3"/>
  </si>
  <si>
    <t>株式会社sms</t>
    <rPh sb="0" eb="4">
      <t>カブシキカイシャ</t>
    </rPh>
    <phoneticPr fontId="3"/>
  </si>
  <si>
    <t>小山株式会社</t>
    <rPh sb="0" eb="2">
      <t>コヤマ</t>
    </rPh>
    <rPh sb="2" eb="4">
      <t>カブシキ</t>
    </rPh>
    <rPh sb="4" eb="6">
      <t>カイシャ</t>
    </rPh>
    <phoneticPr fontId="3"/>
  </si>
  <si>
    <t>GMOペイメントサービス株式会社</t>
    <rPh sb="12" eb="16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</si>
</sst>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6" formatCode="&quot;¥&quot;#,##0;[Red]&quot;¥&quot;\-#,##0"/>
    <numFmt numFmtId="176" formatCode="#,##0;[Red]#,##0"/>
    <numFmt numFmtId="177" formatCode="#,##0_ ;[Red]\-#,##0\ "/>
    <numFmt numFmtId="178" formatCode="0.0%"/>
  </numFmts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i/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b/>
      <sz val="11"/>
      <color theme="3" tint="0.499984740745262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2"/>
      <color theme="1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87">
    <xf numFmtId="0" fontId="0" fillId="0" borderId="0" xfId="0">
      <alignment vertical="center"/>
    </xf>
    <xf numFmtId="55" fontId="0" fillId="2" borderId="0" xfId="0" applyNumberFormat="1" applyFill="1">
      <alignment vertical="center"/>
    </xf>
    <xf numFmtId="55" fontId="0" fillId="0" borderId="0" xfId="0" applyNumberFormat="1">
      <alignment vertical="center"/>
    </xf>
    <xf numFmtId="55" fontId="4" fillId="0" borderId="0" xfId="0" applyNumberFormat="1" applyFont="1">
      <alignment vertical="center"/>
    </xf>
    <xf numFmtId="0" fontId="0" fillId="3" borderId="0" xfId="0" applyFill="1">
      <alignment vertical="center"/>
    </xf>
    <xf numFmtId="38" fontId="0" fillId="0" borderId="0" xfId="1" applyFont="1">
      <alignment vertical="center"/>
    </xf>
    <xf numFmtId="38" fontId="0" fillId="2" borderId="0" xfId="1" applyFont="1" applyFill="1">
      <alignment vertical="center"/>
    </xf>
    <xf numFmtId="38" fontId="4" fillId="0" borderId="0" xfId="1" applyFont="1">
      <alignment vertical="center"/>
    </xf>
    <xf numFmtId="38" fontId="0" fillId="3" borderId="0" xfId="1" applyFont="1" applyFill="1">
      <alignment vertical="center"/>
    </xf>
    <xf numFmtId="0" fontId="5" fillId="4" borderId="0" xfId="0" applyFont="1" applyFill="1">
      <alignment vertical="center"/>
    </xf>
    <xf numFmtId="0" fontId="4" fillId="0" borderId="0" xfId="0" applyFont="1">
      <alignment vertical="center"/>
    </xf>
    <xf numFmtId="38" fontId="0" fillId="0" borderId="0" xfId="0" applyNumberFormat="1">
      <alignment vertical="center"/>
    </xf>
    <xf numFmtId="38" fontId="7" fillId="0" borderId="0" xfId="1" applyFont="1">
      <alignment vertical="center"/>
    </xf>
    <xf numFmtId="0" fontId="0" fillId="5" borderId="0" xfId="0" applyFill="1">
      <alignment vertical="center"/>
    </xf>
    <xf numFmtId="38" fontId="0" fillId="6" borderId="0" xfId="1" applyFont="1" applyFill="1">
      <alignment vertical="center"/>
    </xf>
    <xf numFmtId="38" fontId="4" fillId="6" borderId="0" xfId="1" applyFont="1" applyFill="1">
      <alignment vertical="center"/>
    </xf>
    <xf numFmtId="38" fontId="0" fillId="7" borderId="0" xfId="1" applyFont="1" applyFill="1">
      <alignment vertical="center"/>
    </xf>
    <xf numFmtId="0" fontId="5" fillId="8" borderId="0" xfId="0" applyFont="1" applyFill="1">
      <alignment vertical="center"/>
    </xf>
    <xf numFmtId="0" fontId="0" fillId="9" borderId="0" xfId="0" applyFill="1">
      <alignment vertical="center"/>
    </xf>
    <xf numFmtId="38" fontId="0" fillId="10" borderId="0" xfId="1" applyFont="1" applyFill="1">
      <alignment vertical="center"/>
    </xf>
    <xf numFmtId="9" fontId="0" fillId="0" borderId="0" xfId="1" applyNumberFormat="1" applyFont="1" applyFill="1">
      <alignment vertical="center"/>
    </xf>
    <xf numFmtId="9" fontId="4" fillId="0" borderId="0" xfId="1" applyNumberFormat="1" applyFont="1" applyFill="1">
      <alignment vertical="center"/>
    </xf>
    <xf numFmtId="38" fontId="2" fillId="0" borderId="0" xfId="1" applyFont="1">
      <alignment vertical="center"/>
    </xf>
    <xf numFmtId="38" fontId="0" fillId="0" borderId="0" xfId="1" applyFont="1" applyFill="1">
      <alignment vertical="center"/>
    </xf>
    <xf numFmtId="38" fontId="4" fillId="0" borderId="0" xfId="1" applyFont="1" applyFill="1">
      <alignment vertical="center"/>
    </xf>
    <xf numFmtId="38" fontId="8" fillId="0" borderId="0" xfId="1" applyFont="1">
      <alignment vertical="center"/>
    </xf>
    <xf numFmtId="38" fontId="4" fillId="0" borderId="4" xfId="1" applyFont="1" applyFill="1" applyBorder="1">
      <alignment vertical="center"/>
    </xf>
    <xf numFmtId="0" fontId="4" fillId="11" borderId="0" xfId="0" applyFont="1" applyFill="1">
      <alignment vertical="center"/>
    </xf>
    <xf numFmtId="38" fontId="4" fillId="0" borderId="5" xfId="1" applyFont="1" applyFill="1" applyBorder="1">
      <alignment vertical="center"/>
    </xf>
    <xf numFmtId="0" fontId="0" fillId="0" borderId="0" xfId="1" applyNumberFormat="1" applyFont="1" applyFill="1">
      <alignment vertical="center"/>
    </xf>
    <xf numFmtId="176" fontId="9" fillId="0" borderId="0" xfId="1" applyNumberFormat="1" applyFont="1" applyFill="1">
      <alignment vertical="center"/>
    </xf>
    <xf numFmtId="38" fontId="9" fillId="0" borderId="0" xfId="1" applyFont="1" applyFill="1">
      <alignment vertical="center"/>
    </xf>
    <xf numFmtId="38" fontId="9" fillId="0" borderId="5" xfId="1" applyFont="1" applyFill="1" applyBorder="1">
      <alignment vertical="center"/>
    </xf>
    <xf numFmtId="176" fontId="4" fillId="0" borderId="0" xfId="1" applyNumberFormat="1" applyFont="1" applyFill="1">
      <alignment vertical="center"/>
    </xf>
    <xf numFmtId="0" fontId="0" fillId="11" borderId="0" xfId="0" applyFill="1">
      <alignment vertical="center"/>
    </xf>
    <xf numFmtId="176" fontId="0" fillId="0" borderId="0" xfId="1" applyNumberFormat="1" applyFont="1" applyFill="1">
      <alignment vertical="center"/>
    </xf>
    <xf numFmtId="38" fontId="0" fillId="0" borderId="5" xfId="1" applyFont="1" applyFill="1" applyBorder="1">
      <alignment vertical="center"/>
    </xf>
    <xf numFmtId="177" fontId="4" fillId="0" borderId="0" xfId="1" applyNumberFormat="1" applyFont="1" applyFill="1">
      <alignment vertical="center"/>
    </xf>
    <xf numFmtId="9" fontId="4" fillId="0" borderId="6" xfId="1" applyNumberFormat="1" applyFont="1" applyBorder="1">
      <alignment vertical="center"/>
    </xf>
    <xf numFmtId="0" fontId="0" fillId="12" borderId="0" xfId="0" applyFill="1">
      <alignment vertical="center"/>
    </xf>
    <xf numFmtId="38" fontId="0" fillId="13" borderId="0" xfId="1" applyFont="1" applyFill="1">
      <alignment vertical="center"/>
    </xf>
    <xf numFmtId="38" fontId="4" fillId="13" borderId="7" xfId="1" applyFont="1" applyFill="1" applyBorder="1">
      <alignment vertical="center"/>
    </xf>
    <xf numFmtId="38" fontId="0" fillId="14" borderId="0" xfId="0" applyNumberFormat="1" applyFill="1">
      <alignment vertical="center"/>
    </xf>
    <xf numFmtId="9" fontId="0" fillId="0" borderId="0" xfId="1" applyNumberFormat="1" applyFont="1">
      <alignment vertical="center"/>
    </xf>
    <xf numFmtId="9" fontId="4" fillId="0" borderId="0" xfId="1" applyNumberFormat="1" applyFont="1">
      <alignment vertical="center"/>
    </xf>
    <xf numFmtId="38" fontId="4" fillId="13" borderId="0" xfId="1" applyFont="1" applyFill="1">
      <alignment vertical="center"/>
    </xf>
    <xf numFmtId="38" fontId="0" fillId="12" borderId="0" xfId="1" applyFont="1" applyFill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2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0" xfId="3" applyFont="1">
      <alignment vertical="center"/>
    </xf>
    <xf numFmtId="0" fontId="10" fillId="0" borderId="0" xfId="3">
      <alignment vertical="center"/>
    </xf>
    <xf numFmtId="0" fontId="11" fillId="0" borderId="0" xfId="3" applyFont="1" applyAlignment="1">
      <alignment horizontal="center" vertical="center"/>
    </xf>
    <xf numFmtId="0" fontId="13" fillId="0" borderId="0" xfId="3" applyFont="1">
      <alignment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15" fillId="0" borderId="0" xfId="3" applyFont="1" applyAlignment="1">
      <alignment horizontal="right" vertical="center"/>
    </xf>
    <xf numFmtId="0" fontId="16" fillId="0" borderId="0" xfId="3" applyFont="1" applyAlignment="1">
      <alignment horizontal="center" vertical="center"/>
    </xf>
    <xf numFmtId="0" fontId="15" fillId="15" borderId="8" xfId="3" applyFont="1" applyFill="1" applyBorder="1">
      <alignment vertical="center"/>
    </xf>
    <xf numFmtId="0" fontId="17" fillId="0" borderId="0" xfId="3" applyFont="1">
      <alignment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5" fillId="0" borderId="8" xfId="3" applyFont="1" applyBorder="1">
      <alignment vertical="center"/>
    </xf>
    <xf numFmtId="5" fontId="15" fillId="0" borderId="8" xfId="3" applyNumberFormat="1" applyFont="1" applyBorder="1">
      <alignment vertical="center"/>
    </xf>
    <xf numFmtId="0" fontId="15" fillId="0" borderId="9" xfId="3" applyFont="1" applyBorder="1">
      <alignment vertical="center"/>
    </xf>
    <xf numFmtId="5" fontId="15" fillId="0" borderId="9" xfId="3" applyNumberFormat="1" applyFont="1" applyBorder="1">
      <alignment vertical="center"/>
    </xf>
    <xf numFmtId="0" fontId="15" fillId="16" borderId="10" xfId="3" applyFont="1" applyFill="1" applyBorder="1" applyAlignment="1">
      <alignment horizontal="center" vertical="center"/>
    </xf>
    <xf numFmtId="5" fontId="15" fillId="0" borderId="11" xfId="3" applyNumberFormat="1" applyFont="1" applyBorder="1">
      <alignment vertical="center"/>
    </xf>
    <xf numFmtId="0" fontId="15" fillId="0" borderId="12" xfId="3" applyFont="1" applyBorder="1">
      <alignment vertical="center"/>
    </xf>
    <xf numFmtId="0" fontId="15" fillId="0" borderId="0" xfId="3" applyFont="1" applyAlignment="1">
      <alignment horizontal="center" vertical="center"/>
    </xf>
    <xf numFmtId="0" fontId="10" fillId="0" borderId="0" xfId="3" applyAlignment="1">
      <alignment horizontal="center" vertical="center"/>
    </xf>
    <xf numFmtId="0" fontId="15" fillId="17" borderId="9" xfId="3" applyFont="1" applyFill="1" applyBorder="1">
      <alignment vertical="center"/>
    </xf>
    <xf numFmtId="5" fontId="10" fillId="0" borderId="0" xfId="3" applyNumberFormat="1">
      <alignment vertical="center"/>
    </xf>
    <xf numFmtId="6" fontId="10" fillId="0" borderId="0" xfId="3" applyNumberFormat="1">
      <alignment vertical="center"/>
    </xf>
    <xf numFmtId="0" fontId="15" fillId="15" borderId="9" xfId="3" applyFont="1" applyFill="1" applyBorder="1">
      <alignment vertical="center"/>
    </xf>
    <xf numFmtId="0" fontId="15" fillId="15" borderId="13" xfId="3" applyFont="1" applyFill="1" applyBorder="1">
      <alignment vertical="center"/>
    </xf>
    <xf numFmtId="5" fontId="15" fillId="0" borderId="13" xfId="3" applyNumberFormat="1" applyFont="1" applyBorder="1">
      <alignment vertical="center"/>
    </xf>
    <xf numFmtId="0" fontId="15" fillId="16" borderId="14" xfId="3" applyFont="1" applyFill="1" applyBorder="1">
      <alignment vertical="center"/>
    </xf>
    <xf numFmtId="5" fontId="15" fillId="0" borderId="14" xfId="3" applyNumberFormat="1" applyFont="1" applyBorder="1">
      <alignment vertical="center"/>
    </xf>
    <xf numFmtId="178" fontId="18" fillId="0" borderId="0" xfId="3" applyNumberFormat="1" applyFont="1">
      <alignment vertical="center"/>
    </xf>
    <xf numFmtId="3" fontId="10" fillId="0" borderId="0" xfId="3" applyNumberFormat="1">
      <alignment vertical="center"/>
    </xf>
    <xf numFmtId="5" fontId="15" fillId="0" borderId="0" xfId="3" applyNumberFormat="1" applyFont="1">
      <alignment vertical="center"/>
    </xf>
  </cellXfs>
  <cellStyles count="4">
    <cellStyle name="パーセント" xfId="2" builtinId="5"/>
    <cellStyle name="桁区切り" xfId="1" builtinId="6"/>
    <cellStyle name="標準" xfId="0" builtinId="0"/>
    <cellStyle name="標準 2" xfId="3" xr:uid="{9DAA2E15-D2B9-41E6-BEFE-B8DA8BEB5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AA18-F9BD-43BC-A602-6E052DBFAD9A}">
  <dimension ref="A1:Q140"/>
  <sheetViews>
    <sheetView workbookViewId="0">
      <selection activeCell="C12" sqref="C12"/>
    </sheetView>
  </sheetViews>
  <sheetFormatPr defaultRowHeight="18"/>
  <cols>
    <col min="1" max="1" width="38.6640625" customWidth="1"/>
    <col min="2" max="2" width="10.9140625" customWidth="1"/>
    <col min="3" max="8" width="11.4140625" customWidth="1"/>
    <col min="9" max="9" width="11.4140625" style="10" customWidth="1"/>
    <col min="10" max="11" width="11.4140625" customWidth="1"/>
    <col min="12" max="12" width="11.4140625" style="10" customWidth="1"/>
    <col min="13" max="16" width="11.4140625" customWidth="1"/>
    <col min="17" max="17" width="13.58203125" customWidth="1"/>
  </cols>
  <sheetData>
    <row r="1" spans="1:17">
      <c r="A1" t="s">
        <v>0</v>
      </c>
      <c r="B1" s="1">
        <v>45931</v>
      </c>
      <c r="C1" s="2">
        <v>45962</v>
      </c>
      <c r="D1" s="2">
        <v>45992</v>
      </c>
      <c r="E1" s="2">
        <v>46023</v>
      </c>
      <c r="F1" s="2">
        <v>46054</v>
      </c>
      <c r="G1" s="2">
        <v>46082</v>
      </c>
      <c r="H1" s="2">
        <v>46113</v>
      </c>
      <c r="I1" s="3">
        <v>46143</v>
      </c>
      <c r="J1" s="2">
        <v>46174</v>
      </c>
      <c r="K1" s="2">
        <v>46204</v>
      </c>
      <c r="L1" s="3">
        <v>46235</v>
      </c>
      <c r="M1" s="2">
        <v>46266</v>
      </c>
      <c r="N1" s="2">
        <v>46296</v>
      </c>
      <c r="O1" s="2">
        <v>46327</v>
      </c>
      <c r="P1" s="2">
        <v>46357</v>
      </c>
      <c r="Q1" s="4" t="s">
        <v>1</v>
      </c>
    </row>
    <row r="2" spans="1:17" s="5" customFormat="1" ht="18.5" thickBot="1">
      <c r="A2" s="5" t="s">
        <v>2</v>
      </c>
      <c r="B2" s="6"/>
      <c r="C2" s="5">
        <v>4070000</v>
      </c>
      <c r="D2" s="5">
        <v>5200000</v>
      </c>
      <c r="F2" s="5">
        <v>5000000</v>
      </c>
      <c r="I2" s="7"/>
      <c r="L2" s="7"/>
      <c r="Q2" s="8"/>
    </row>
    <row r="3" spans="1:17" ht="18.5" thickBot="1">
      <c r="A3" s="9" t="s">
        <v>3</v>
      </c>
      <c r="B3" s="51" t="s">
        <v>4</v>
      </c>
      <c r="C3" s="52"/>
      <c r="D3" s="52"/>
      <c r="E3" s="52"/>
      <c r="F3" s="52"/>
      <c r="G3" s="53"/>
    </row>
    <row r="4" spans="1:17">
      <c r="A4" t="s">
        <v>5</v>
      </c>
      <c r="B4" s="5">
        <v>3123580</v>
      </c>
      <c r="C4" s="5">
        <v>2500000</v>
      </c>
      <c r="D4" s="5">
        <v>2000000</v>
      </c>
      <c r="E4" s="5">
        <v>1000000</v>
      </c>
      <c r="F4" s="5">
        <v>1000000</v>
      </c>
      <c r="G4" s="5">
        <v>700000</v>
      </c>
      <c r="H4" s="5">
        <v>300000</v>
      </c>
      <c r="I4" s="7"/>
      <c r="J4" s="5"/>
      <c r="K4" s="5"/>
      <c r="L4" s="7"/>
      <c r="M4" s="5"/>
      <c r="N4" s="5"/>
      <c r="O4" s="5"/>
      <c r="P4" s="5"/>
      <c r="Q4" s="11">
        <f>SUM(E4:P4)</f>
        <v>3000000</v>
      </c>
    </row>
    <row r="5" spans="1:17">
      <c r="A5" t="s">
        <v>6</v>
      </c>
      <c r="B5" s="5">
        <f>13936344+3074292</f>
        <v>17010636</v>
      </c>
      <c r="C5" s="5">
        <v>13000000</v>
      </c>
      <c r="D5" s="5">
        <v>15000000</v>
      </c>
      <c r="E5" s="5">
        <v>8000000</v>
      </c>
      <c r="F5" s="5">
        <v>15000000</v>
      </c>
      <c r="G5" s="5">
        <v>15000000</v>
      </c>
      <c r="H5" s="5">
        <v>15000000</v>
      </c>
      <c r="I5" s="7">
        <v>17000000</v>
      </c>
      <c r="J5" s="5">
        <v>17000000</v>
      </c>
      <c r="K5" s="5">
        <v>18000000</v>
      </c>
      <c r="L5" s="7">
        <v>22000000</v>
      </c>
      <c r="M5" s="12">
        <v>22000000</v>
      </c>
      <c r="N5" s="12">
        <v>22000000</v>
      </c>
      <c r="O5" s="12">
        <v>22000000</v>
      </c>
      <c r="P5" s="12">
        <v>22000000</v>
      </c>
      <c r="Q5" s="11">
        <f>SUM(E5:P5)</f>
        <v>215000000</v>
      </c>
    </row>
    <row r="6" spans="1:17">
      <c r="A6" t="s">
        <v>7</v>
      </c>
      <c r="B6" s="5"/>
      <c r="C6" s="5"/>
      <c r="D6" s="5"/>
      <c r="E6" s="5"/>
      <c r="F6" s="5"/>
      <c r="G6" s="5"/>
      <c r="H6" s="5"/>
      <c r="I6" s="7"/>
      <c r="J6" s="5"/>
      <c r="K6" s="5"/>
      <c r="L6" s="7"/>
      <c r="M6" s="5"/>
      <c r="N6" s="5"/>
      <c r="O6" s="5"/>
      <c r="P6" s="5"/>
      <c r="Q6" s="11"/>
    </row>
    <row r="7" spans="1:17">
      <c r="A7" t="s">
        <v>8</v>
      </c>
      <c r="B7" s="5">
        <v>11000000</v>
      </c>
      <c r="C7" s="5">
        <v>13200000</v>
      </c>
      <c r="D7" s="5">
        <v>9000000</v>
      </c>
      <c r="E7" s="5">
        <v>11000000</v>
      </c>
      <c r="F7" s="5">
        <v>11000000</v>
      </c>
      <c r="G7" s="5">
        <v>12000000</v>
      </c>
      <c r="H7" s="5">
        <v>12000000</v>
      </c>
      <c r="I7" s="7">
        <v>14000000</v>
      </c>
      <c r="J7" s="5">
        <v>15000000</v>
      </c>
      <c r="K7" s="5">
        <v>15000000</v>
      </c>
      <c r="L7" s="7">
        <v>15000000</v>
      </c>
      <c r="M7" s="5">
        <v>16500000</v>
      </c>
      <c r="N7" s="5">
        <v>18000000</v>
      </c>
      <c r="O7" s="5">
        <v>18000000</v>
      </c>
      <c r="P7" s="5">
        <v>18000000</v>
      </c>
      <c r="Q7" s="11">
        <f t="shared" ref="Q7:Q24" si="0">SUM(E7:P7)</f>
        <v>175500000</v>
      </c>
    </row>
    <row r="8" spans="1:17">
      <c r="A8" t="s">
        <v>9</v>
      </c>
      <c r="B8" s="5"/>
      <c r="C8" s="5"/>
      <c r="D8" s="5"/>
      <c r="E8" s="5"/>
      <c r="F8" s="5"/>
      <c r="G8" s="5">
        <v>4000000</v>
      </c>
      <c r="H8" s="7" t="s">
        <v>10</v>
      </c>
      <c r="I8" s="5"/>
      <c r="K8" s="5"/>
      <c r="L8" s="7"/>
      <c r="M8" s="5"/>
      <c r="N8" s="5"/>
      <c r="O8" s="5"/>
      <c r="P8" s="5"/>
      <c r="Q8" s="11"/>
    </row>
    <row r="9" spans="1:17">
      <c r="A9" t="s">
        <v>11</v>
      </c>
      <c r="B9" s="5">
        <v>10196928</v>
      </c>
      <c r="C9" s="5">
        <v>10000000</v>
      </c>
      <c r="D9" s="5">
        <v>7000000</v>
      </c>
      <c r="E9" s="5">
        <v>11000000</v>
      </c>
      <c r="F9" s="5">
        <v>8000000</v>
      </c>
      <c r="G9" s="5">
        <v>11500000</v>
      </c>
      <c r="H9" s="5">
        <v>9000000</v>
      </c>
      <c r="I9" s="7">
        <v>10500000</v>
      </c>
      <c r="J9" s="5">
        <v>9000000</v>
      </c>
      <c r="K9" s="5">
        <v>10500000</v>
      </c>
      <c r="L9" s="7">
        <v>9000000</v>
      </c>
      <c r="M9" s="5">
        <v>10500000</v>
      </c>
      <c r="N9" s="5">
        <v>9000000</v>
      </c>
      <c r="O9" s="5">
        <v>10000000</v>
      </c>
      <c r="P9" s="5">
        <v>9000000</v>
      </c>
      <c r="Q9" s="11">
        <f t="shared" si="0"/>
        <v>117000000</v>
      </c>
    </row>
    <row r="10" spans="1:17">
      <c r="A10" t="s">
        <v>12</v>
      </c>
      <c r="B10" s="5"/>
      <c r="C10" s="5"/>
      <c r="D10" s="5"/>
      <c r="E10" s="5"/>
      <c r="F10" s="5"/>
      <c r="G10" s="5"/>
      <c r="H10" s="5"/>
      <c r="I10" s="7"/>
      <c r="J10" s="5"/>
      <c r="K10" s="5"/>
      <c r="L10" s="7"/>
      <c r="M10" s="5"/>
      <c r="N10" s="5"/>
      <c r="O10" s="5"/>
      <c r="P10" s="5"/>
      <c r="Q10" s="11"/>
    </row>
    <row r="11" spans="1:17">
      <c r="A11" t="s">
        <v>13</v>
      </c>
      <c r="B11" s="5"/>
      <c r="C11" s="5"/>
      <c r="D11" s="5"/>
      <c r="F11" s="5">
        <v>100000</v>
      </c>
      <c r="G11" s="5">
        <v>200000</v>
      </c>
      <c r="H11" s="5"/>
      <c r="I11" s="7"/>
      <c r="J11" s="5"/>
      <c r="K11" s="7"/>
      <c r="L11" s="7"/>
      <c r="M11" s="5"/>
      <c r="N11" s="7"/>
      <c r="O11" s="5"/>
      <c r="P11" s="5"/>
      <c r="Q11" s="11">
        <f>SUM(F11:P11)</f>
        <v>300000</v>
      </c>
    </row>
    <row r="12" spans="1:17">
      <c r="A12" t="s">
        <v>14</v>
      </c>
      <c r="B12" s="5"/>
      <c r="C12" s="5"/>
      <c r="D12" s="5"/>
      <c r="F12" s="5" t="s">
        <v>15</v>
      </c>
      <c r="G12" s="5"/>
      <c r="H12" s="5"/>
      <c r="I12" s="7"/>
      <c r="J12" s="5"/>
      <c r="K12" s="7"/>
      <c r="L12" s="7"/>
      <c r="M12" s="5"/>
      <c r="N12" s="5"/>
      <c r="O12" s="5"/>
      <c r="P12" s="5"/>
      <c r="Q12" s="11"/>
    </row>
    <row r="13" spans="1:17">
      <c r="A13" t="s">
        <v>16</v>
      </c>
      <c r="B13" s="5"/>
      <c r="C13" s="5"/>
      <c r="D13" s="5"/>
      <c r="E13" s="5">
        <v>1000000</v>
      </c>
      <c r="F13" s="5">
        <v>1000000</v>
      </c>
      <c r="G13" s="5">
        <v>1500000</v>
      </c>
      <c r="H13" s="5">
        <v>2000000</v>
      </c>
      <c r="I13" s="7">
        <v>2000000</v>
      </c>
      <c r="J13" s="5">
        <v>2000000</v>
      </c>
      <c r="K13" s="5">
        <v>2000000</v>
      </c>
      <c r="L13" s="7">
        <v>2000000</v>
      </c>
      <c r="M13" s="5">
        <v>2000000</v>
      </c>
      <c r="N13" s="12">
        <v>2500000</v>
      </c>
      <c r="O13" s="12">
        <v>2500000</v>
      </c>
      <c r="P13" s="12">
        <v>2500000</v>
      </c>
      <c r="Q13" s="11">
        <f t="shared" si="0"/>
        <v>23000000</v>
      </c>
    </row>
    <row r="14" spans="1:17">
      <c r="A14" t="s">
        <v>17</v>
      </c>
      <c r="B14" s="5"/>
      <c r="C14" s="5"/>
      <c r="E14" s="5"/>
      <c r="F14" s="5"/>
      <c r="G14" s="5"/>
      <c r="H14" s="5"/>
      <c r="I14" s="7"/>
      <c r="J14" s="5"/>
      <c r="K14" s="5"/>
      <c r="L14" s="7"/>
      <c r="M14" s="5"/>
      <c r="N14" s="5"/>
      <c r="O14" s="5"/>
      <c r="P14" s="5"/>
      <c r="Q14" s="11"/>
    </row>
    <row r="15" spans="1:17">
      <c r="A15" t="s">
        <v>18</v>
      </c>
      <c r="B15" s="5"/>
      <c r="C15" s="5"/>
      <c r="D15" s="5"/>
      <c r="E15" s="5"/>
      <c r="F15" s="5"/>
      <c r="G15" s="5"/>
      <c r="H15" s="5"/>
      <c r="I15" s="7"/>
      <c r="J15" s="5">
        <v>500000</v>
      </c>
      <c r="K15" s="5">
        <v>1000000</v>
      </c>
      <c r="L15" s="7">
        <v>1000000</v>
      </c>
      <c r="M15" s="5">
        <v>1000000</v>
      </c>
      <c r="N15" s="5">
        <v>1500000</v>
      </c>
      <c r="O15" s="5">
        <v>1500000</v>
      </c>
      <c r="P15" s="5">
        <v>1500000</v>
      </c>
      <c r="Q15" s="11">
        <f t="shared" si="0"/>
        <v>8000000</v>
      </c>
    </row>
    <row r="16" spans="1:17">
      <c r="A16" t="s">
        <v>19</v>
      </c>
      <c r="B16" s="5"/>
      <c r="C16" s="5"/>
      <c r="D16" s="5">
        <v>400000</v>
      </c>
      <c r="E16" s="5">
        <v>400000</v>
      </c>
      <c r="F16" s="5">
        <v>400000</v>
      </c>
      <c r="G16" s="5">
        <v>1000000</v>
      </c>
      <c r="H16" s="5">
        <v>1000000</v>
      </c>
      <c r="I16" s="7">
        <v>1000000</v>
      </c>
      <c r="J16" s="5">
        <v>1000000</v>
      </c>
      <c r="K16" s="5">
        <v>1000000</v>
      </c>
      <c r="L16" s="7">
        <v>600000</v>
      </c>
      <c r="M16" s="5">
        <v>800000</v>
      </c>
      <c r="N16" s="5">
        <v>800000</v>
      </c>
      <c r="O16" s="5">
        <v>800000</v>
      </c>
      <c r="P16" s="5">
        <v>800000</v>
      </c>
      <c r="Q16" s="11">
        <f t="shared" si="0"/>
        <v>9600000</v>
      </c>
    </row>
    <row r="17" spans="1:17">
      <c r="A17" t="s">
        <v>20</v>
      </c>
      <c r="B17" s="5"/>
      <c r="C17" s="5"/>
      <c r="D17" s="5"/>
      <c r="E17" s="5"/>
      <c r="F17" s="5"/>
      <c r="G17" s="5"/>
      <c r="H17" s="5"/>
      <c r="I17" s="7"/>
      <c r="J17" s="5"/>
      <c r="K17" s="5"/>
      <c r="L17" s="7"/>
      <c r="M17" s="5"/>
      <c r="N17" s="5"/>
      <c r="O17" s="5"/>
      <c r="P17" s="5"/>
      <c r="Q17" s="11"/>
    </row>
    <row r="18" spans="1:17">
      <c r="A18" t="s">
        <v>21</v>
      </c>
      <c r="B18" s="5"/>
      <c r="C18" s="5"/>
      <c r="D18" s="5"/>
      <c r="E18" s="5"/>
      <c r="F18" s="5"/>
      <c r="G18" s="5"/>
      <c r="H18" s="5"/>
      <c r="I18" s="7"/>
      <c r="J18" s="5"/>
      <c r="K18" s="5"/>
      <c r="L18" s="7"/>
      <c r="M18" s="5"/>
      <c r="O18" s="5"/>
      <c r="P18" s="5"/>
      <c r="Q18" s="11">
        <f t="shared" si="0"/>
        <v>0</v>
      </c>
    </row>
    <row r="19" spans="1:17">
      <c r="A19" t="s">
        <v>22</v>
      </c>
      <c r="B19" s="5"/>
      <c r="C19" s="5"/>
      <c r="D19" s="5"/>
      <c r="E19" s="5"/>
      <c r="F19" s="5"/>
      <c r="G19" s="5"/>
      <c r="H19" s="5"/>
      <c r="I19" s="7"/>
      <c r="J19" s="5"/>
      <c r="K19" s="5"/>
      <c r="L19" s="7"/>
      <c r="M19" s="5"/>
      <c r="O19" s="5"/>
      <c r="P19" s="5"/>
      <c r="Q19" s="11"/>
    </row>
    <row r="20" spans="1:17">
      <c r="A20" t="s">
        <v>23</v>
      </c>
      <c r="B20" s="5"/>
      <c r="C20" s="5"/>
      <c r="D20" s="5"/>
      <c r="E20" s="5"/>
      <c r="H20" s="5"/>
      <c r="I20" s="7"/>
      <c r="J20" s="5"/>
      <c r="K20" s="5"/>
      <c r="L20" s="7"/>
      <c r="M20" s="5"/>
      <c r="N20" s="5"/>
      <c r="O20" s="5"/>
      <c r="P20" s="5"/>
      <c r="Q20" s="11">
        <f>SUM(E20:P20)</f>
        <v>0</v>
      </c>
    </row>
    <row r="21" spans="1:17">
      <c r="A21" t="s">
        <v>24</v>
      </c>
      <c r="B21" s="5"/>
      <c r="C21" s="5"/>
      <c r="D21" s="5"/>
      <c r="E21" s="5"/>
      <c r="F21" s="5"/>
      <c r="G21" s="5"/>
      <c r="H21" s="5"/>
      <c r="I21" s="7"/>
      <c r="J21" s="5"/>
      <c r="K21" s="5"/>
      <c r="L21" s="7"/>
      <c r="M21" s="5"/>
      <c r="O21" s="5"/>
      <c r="P21" s="5"/>
      <c r="Q21" s="11"/>
    </row>
    <row r="22" spans="1:17">
      <c r="A22" t="s">
        <v>25</v>
      </c>
      <c r="B22" s="5"/>
      <c r="C22" s="5"/>
      <c r="D22" s="5"/>
      <c r="E22" s="5"/>
      <c r="F22" s="5"/>
      <c r="G22" s="5"/>
      <c r="H22" s="5"/>
      <c r="I22" s="7"/>
      <c r="J22" s="5"/>
      <c r="K22" s="5"/>
      <c r="L22" s="7"/>
      <c r="M22" s="5"/>
      <c r="O22" s="5"/>
      <c r="P22" s="5"/>
      <c r="Q22" s="11"/>
    </row>
    <row r="23" spans="1:17">
      <c r="A23" s="13" t="s">
        <v>26</v>
      </c>
      <c r="B23" s="14">
        <f>SUM(B4:B22)</f>
        <v>41331144</v>
      </c>
      <c r="C23" s="14">
        <f t="shared" ref="C23:Q23" si="1">SUM(C4:C22)</f>
        <v>38700000</v>
      </c>
      <c r="D23" s="14">
        <f t="shared" si="1"/>
        <v>33400000</v>
      </c>
      <c r="E23" s="14">
        <f t="shared" si="1"/>
        <v>32400000</v>
      </c>
      <c r="F23" s="14">
        <f t="shared" si="1"/>
        <v>36500000</v>
      </c>
      <c r="G23" s="14">
        <f t="shared" si="1"/>
        <v>45900000</v>
      </c>
      <c r="H23" s="14">
        <f t="shared" si="1"/>
        <v>39300000</v>
      </c>
      <c r="I23" s="15">
        <f>SUM(I3:I21)</f>
        <v>44500000</v>
      </c>
      <c r="J23" s="14">
        <f t="shared" si="1"/>
        <v>44500000</v>
      </c>
      <c r="K23" s="14">
        <f t="shared" si="1"/>
        <v>47500000</v>
      </c>
      <c r="L23" s="15">
        <f t="shared" si="1"/>
        <v>49600000</v>
      </c>
      <c r="M23" s="14">
        <f t="shared" si="1"/>
        <v>52800000</v>
      </c>
      <c r="N23" s="14">
        <f t="shared" si="1"/>
        <v>53800000</v>
      </c>
      <c r="O23" s="14">
        <f t="shared" si="1"/>
        <v>54800000</v>
      </c>
      <c r="P23" s="14">
        <f t="shared" si="1"/>
        <v>53800000</v>
      </c>
      <c r="Q23" s="16">
        <f t="shared" si="1"/>
        <v>551400000</v>
      </c>
    </row>
    <row r="24" spans="1:17">
      <c r="A24" t="s">
        <v>27</v>
      </c>
      <c r="B24" s="5">
        <v>4781747</v>
      </c>
      <c r="C24" s="5">
        <v>2500000</v>
      </c>
      <c r="D24" s="5">
        <v>2000000</v>
      </c>
      <c r="E24" s="5">
        <v>1500000</v>
      </c>
      <c r="F24" s="5">
        <v>3000000</v>
      </c>
      <c r="G24" s="5">
        <v>1500000</v>
      </c>
      <c r="H24" s="5">
        <v>1500000</v>
      </c>
      <c r="I24" s="5">
        <v>1500000</v>
      </c>
      <c r="J24" s="5">
        <v>1500000</v>
      </c>
      <c r="K24" s="5">
        <v>1250000</v>
      </c>
      <c r="L24" s="7">
        <v>1250000</v>
      </c>
      <c r="M24" s="5">
        <v>1250000</v>
      </c>
      <c r="N24" s="5">
        <v>1000000</v>
      </c>
      <c r="O24" s="5">
        <v>1000000</v>
      </c>
      <c r="P24" s="5">
        <v>1000000</v>
      </c>
      <c r="Q24" s="11">
        <f t="shared" si="0"/>
        <v>17250000</v>
      </c>
    </row>
    <row r="25" spans="1:17">
      <c r="A25" t="s">
        <v>28</v>
      </c>
      <c r="B25" s="5" t="s">
        <v>29</v>
      </c>
      <c r="C25" s="5">
        <v>1000000</v>
      </c>
      <c r="D25" s="5">
        <f>330000+110000+330000+165000</f>
        <v>935000</v>
      </c>
      <c r="E25" s="5">
        <v>1500000</v>
      </c>
      <c r="F25" s="5">
        <v>300000</v>
      </c>
      <c r="G25" s="5">
        <v>500000</v>
      </c>
      <c r="H25" s="5">
        <v>500000</v>
      </c>
      <c r="I25" s="5">
        <v>300000</v>
      </c>
      <c r="J25" s="5">
        <v>300000</v>
      </c>
      <c r="K25" s="5">
        <v>300000</v>
      </c>
      <c r="L25" s="7">
        <v>300000</v>
      </c>
      <c r="M25" s="5">
        <v>300000</v>
      </c>
      <c r="N25" s="5">
        <v>300000</v>
      </c>
      <c r="O25" s="5">
        <v>300000</v>
      </c>
      <c r="P25" s="5">
        <v>300000</v>
      </c>
    </row>
    <row r="26" spans="1:17">
      <c r="A26" s="13" t="s">
        <v>30</v>
      </c>
      <c r="B26" s="14">
        <f>SUM(B23:B25)</f>
        <v>46112891</v>
      </c>
      <c r="C26" s="14">
        <f>SUM(C23:C25)</f>
        <v>42200000</v>
      </c>
      <c r="D26" s="14">
        <f t="shared" ref="D26:P26" si="2">SUM(D23:D25)</f>
        <v>36335000</v>
      </c>
      <c r="E26" s="14">
        <f>SUM(E23:E25)</f>
        <v>35400000</v>
      </c>
      <c r="F26" s="14">
        <f t="shared" si="2"/>
        <v>39800000</v>
      </c>
      <c r="G26" s="14">
        <f t="shared" si="2"/>
        <v>47900000</v>
      </c>
      <c r="H26" s="14">
        <f t="shared" si="2"/>
        <v>41300000</v>
      </c>
      <c r="I26" s="15">
        <f t="shared" si="2"/>
        <v>46300000</v>
      </c>
      <c r="J26" s="14">
        <f t="shared" si="2"/>
        <v>46300000</v>
      </c>
      <c r="K26" s="14">
        <f t="shared" si="2"/>
        <v>49050000</v>
      </c>
      <c r="L26" s="15">
        <f t="shared" si="2"/>
        <v>51150000</v>
      </c>
      <c r="M26" s="14">
        <f t="shared" si="2"/>
        <v>54350000</v>
      </c>
      <c r="N26" s="14">
        <f t="shared" si="2"/>
        <v>55100000</v>
      </c>
      <c r="O26" s="14">
        <f t="shared" si="2"/>
        <v>56100000</v>
      </c>
      <c r="P26" s="14">
        <f t="shared" si="2"/>
        <v>55100000</v>
      </c>
      <c r="Q26" s="16">
        <f>SUM(Q23:Q25)</f>
        <v>568650000</v>
      </c>
    </row>
    <row r="27" spans="1:17">
      <c r="A27" s="17" t="s">
        <v>31</v>
      </c>
      <c r="B27" s="5"/>
      <c r="C27" s="5"/>
      <c r="D27" s="5"/>
      <c r="E27" s="5"/>
      <c r="F27" s="5"/>
      <c r="G27" s="5"/>
      <c r="H27" s="5"/>
      <c r="I27" s="7"/>
      <c r="J27" s="5"/>
      <c r="K27" s="5"/>
      <c r="L27" s="7"/>
      <c r="M27" s="5"/>
      <c r="N27" s="5"/>
      <c r="O27" s="5"/>
      <c r="P27" s="5"/>
    </row>
    <row r="28" spans="1:17">
      <c r="A28" t="s">
        <v>32</v>
      </c>
      <c r="B28" s="5"/>
      <c r="C28" s="5"/>
      <c r="D28" s="5"/>
      <c r="E28" s="5"/>
      <c r="F28" s="5"/>
      <c r="G28" s="5"/>
      <c r="H28" s="5"/>
      <c r="I28" s="7"/>
      <c r="J28" s="5"/>
      <c r="K28" s="5"/>
      <c r="L28" s="7"/>
      <c r="M28" s="5"/>
      <c r="N28" s="5"/>
      <c r="O28" s="5"/>
      <c r="P28" s="5"/>
    </row>
    <row r="29" spans="1:17">
      <c r="A29" t="s">
        <v>33</v>
      </c>
      <c r="B29" s="5">
        <v>9649885</v>
      </c>
      <c r="C29" s="5">
        <v>10077831</v>
      </c>
      <c r="D29" s="5"/>
      <c r="E29" s="5">
        <v>11328000</v>
      </c>
      <c r="F29" s="5">
        <v>9863239</v>
      </c>
      <c r="G29" s="5"/>
      <c r="H29" s="5"/>
      <c r="I29" s="7"/>
      <c r="J29" s="5"/>
      <c r="K29" s="5"/>
      <c r="L29" s="7"/>
      <c r="M29" s="5"/>
      <c r="N29" s="5"/>
      <c r="O29" s="5"/>
      <c r="P29" s="5"/>
    </row>
    <row r="30" spans="1:17">
      <c r="A30" t="s">
        <v>34</v>
      </c>
      <c r="B30" s="5">
        <v>1758898</v>
      </c>
      <c r="C30" s="5">
        <v>1811000</v>
      </c>
      <c r="D30" s="5"/>
      <c r="E30" s="5">
        <v>2280000</v>
      </c>
      <c r="F30" s="5">
        <v>2298205</v>
      </c>
      <c r="G30" s="5"/>
      <c r="H30" s="5"/>
      <c r="I30" s="7"/>
      <c r="J30" s="5"/>
      <c r="K30" s="5"/>
      <c r="L30" s="7"/>
      <c r="M30" s="5"/>
      <c r="N30" s="5"/>
      <c r="O30" s="5"/>
      <c r="P30" s="5"/>
    </row>
    <row r="31" spans="1:17">
      <c r="A31" t="s">
        <v>35</v>
      </c>
      <c r="B31" s="5">
        <v>3345273</v>
      </c>
      <c r="C31" s="5">
        <v>2680000</v>
      </c>
      <c r="D31" s="5"/>
      <c r="E31" s="5">
        <v>2950000</v>
      </c>
      <c r="F31" s="5">
        <v>3469920</v>
      </c>
      <c r="G31" s="5"/>
      <c r="H31" s="5"/>
      <c r="I31" s="7"/>
      <c r="J31" s="5"/>
      <c r="K31" s="5"/>
      <c r="L31" s="7"/>
      <c r="M31" s="5"/>
      <c r="N31" s="5"/>
      <c r="O31" s="5"/>
      <c r="P31" s="5"/>
    </row>
    <row r="32" spans="1:17">
      <c r="A32" t="s">
        <v>36</v>
      </c>
      <c r="B32" s="5">
        <v>710000</v>
      </c>
      <c r="C32" s="5">
        <v>300000</v>
      </c>
      <c r="D32" s="5"/>
      <c r="E32" s="5"/>
      <c r="F32" s="5">
        <v>395076</v>
      </c>
      <c r="G32" s="5"/>
      <c r="H32" s="5"/>
      <c r="I32" s="7"/>
      <c r="J32" s="5"/>
      <c r="K32" s="5"/>
      <c r="L32" s="7"/>
      <c r="M32" s="5"/>
      <c r="N32" s="5"/>
      <c r="O32" s="5"/>
      <c r="P32" s="5"/>
    </row>
    <row r="33" spans="1:16">
      <c r="A33" t="s">
        <v>37</v>
      </c>
      <c r="B33" s="5">
        <v>2957703</v>
      </c>
      <c r="C33" s="5">
        <v>3500000</v>
      </c>
      <c r="D33" s="5"/>
      <c r="E33" s="5">
        <v>5000000</v>
      </c>
      <c r="F33" s="5">
        <f>F29*0.3</f>
        <v>2958971.6999999997</v>
      </c>
      <c r="G33" s="5"/>
      <c r="H33" s="5"/>
      <c r="I33" s="7"/>
      <c r="J33" s="5"/>
      <c r="K33" s="5"/>
      <c r="L33" s="7"/>
      <c r="M33" s="5"/>
      <c r="N33" s="5"/>
      <c r="O33" s="5"/>
      <c r="P33" s="5"/>
    </row>
    <row r="34" spans="1:16">
      <c r="A34" t="s">
        <v>38</v>
      </c>
      <c r="B34" s="5">
        <v>252800</v>
      </c>
      <c r="C34" s="5">
        <v>236100</v>
      </c>
      <c r="D34" s="5"/>
      <c r="E34" s="5" t="s">
        <v>39</v>
      </c>
      <c r="F34" s="5">
        <v>197400</v>
      </c>
      <c r="G34" s="5"/>
      <c r="H34" s="5"/>
      <c r="I34" s="7"/>
      <c r="J34" s="5"/>
      <c r="K34" s="5"/>
      <c r="L34" s="7"/>
      <c r="M34" s="5"/>
      <c r="N34" s="5"/>
      <c r="O34" s="5"/>
      <c r="P34" s="5"/>
    </row>
    <row r="35" spans="1:16">
      <c r="A35" t="s">
        <v>40</v>
      </c>
      <c r="B35" s="5">
        <v>400000</v>
      </c>
      <c r="C35" s="5">
        <v>400000</v>
      </c>
      <c r="D35" s="5"/>
      <c r="E35" s="5"/>
      <c r="F35" s="5"/>
      <c r="G35" s="5"/>
      <c r="H35" s="5"/>
      <c r="I35" s="7"/>
      <c r="J35" s="5"/>
      <c r="K35" s="5"/>
      <c r="L35" s="7"/>
      <c r="M35" s="5"/>
      <c r="N35" s="5"/>
      <c r="O35" s="5"/>
      <c r="P35" s="5"/>
    </row>
    <row r="36" spans="1:16">
      <c r="A36" t="s">
        <v>41</v>
      </c>
      <c r="B36" s="5"/>
      <c r="C36" s="5"/>
      <c r="D36" s="5"/>
      <c r="E36" s="5"/>
      <c r="F36" s="5">
        <v>497376</v>
      </c>
      <c r="G36" s="5"/>
      <c r="H36" s="5"/>
      <c r="I36" s="7"/>
      <c r="J36" s="5"/>
      <c r="K36" s="5"/>
      <c r="L36" s="7"/>
      <c r="M36" s="5"/>
      <c r="N36" s="5"/>
      <c r="O36" s="5"/>
      <c r="P36" s="5"/>
    </row>
    <row r="37" spans="1:16">
      <c r="A37" t="s">
        <v>42</v>
      </c>
      <c r="B37" s="5"/>
      <c r="C37" s="5"/>
      <c r="D37" s="5"/>
      <c r="E37" s="5"/>
      <c r="F37" s="5"/>
      <c r="G37" s="5"/>
      <c r="H37" s="5"/>
      <c r="I37" s="7"/>
      <c r="J37" s="5"/>
      <c r="K37" s="5"/>
      <c r="L37" s="7"/>
      <c r="M37" s="5"/>
      <c r="N37" s="5"/>
      <c r="O37" s="5"/>
      <c r="P37" s="5"/>
    </row>
    <row r="38" spans="1:16">
      <c r="A38" s="18" t="s">
        <v>43</v>
      </c>
      <c r="B38" s="19">
        <f>SUM(B29:B37)</f>
        <v>19074559</v>
      </c>
      <c r="C38" s="19">
        <f>SUM(C29:C37)</f>
        <v>19004931</v>
      </c>
      <c r="D38" s="19">
        <v>18500000</v>
      </c>
      <c r="E38" s="5">
        <v>20000000</v>
      </c>
      <c r="F38" s="5">
        <f>SUM(F29:F37)</f>
        <v>19680187.699999999</v>
      </c>
      <c r="G38" s="5">
        <f t="shared" ref="G38:I38" si="3">G5*0.25+G7*0.6+G9*0.3+G11*0.35+G13*0.3+G16*0.4+3000000+1000000</f>
        <v>19320000</v>
      </c>
      <c r="H38" s="5">
        <v>19000000</v>
      </c>
      <c r="I38" s="7">
        <f t="shared" si="3"/>
        <v>20800000</v>
      </c>
      <c r="J38" s="12">
        <f>J5*0.25+J7*0.6+J9*0.3+J11*0.35+J13*0.3+J15*0.3+J20*0.5+1800000+1000000+500000</f>
        <v>20000000</v>
      </c>
      <c r="K38" s="12">
        <f t="shared" ref="K38:P38" si="4">K5*0.25+K7*0.6+K9*0.3+K11*0.35+K13*0.3+K15*0.3+K20*0.5+1800000+1000000+500000</f>
        <v>20850000</v>
      </c>
      <c r="L38" s="7">
        <f t="shared" si="4"/>
        <v>21400000</v>
      </c>
      <c r="M38" s="12">
        <f t="shared" si="4"/>
        <v>22750000</v>
      </c>
      <c r="N38" s="12">
        <f t="shared" si="4"/>
        <v>23500000</v>
      </c>
      <c r="O38" s="12">
        <f t="shared" si="4"/>
        <v>23800000</v>
      </c>
      <c r="P38" s="12">
        <f t="shared" si="4"/>
        <v>23500000</v>
      </c>
    </row>
    <row r="39" spans="1:16">
      <c r="A39" s="18" t="s">
        <v>44</v>
      </c>
      <c r="B39" s="20">
        <f>B38/B26</f>
        <v>0.41364916808187108</v>
      </c>
      <c r="C39" s="20">
        <f>C38/C26</f>
        <v>0.4503538151658768</v>
      </c>
      <c r="D39" s="20">
        <f t="shared" ref="D39:P39" si="5">D38/D26</f>
        <v>0.50915095637814778</v>
      </c>
      <c r="E39" s="20">
        <f t="shared" si="5"/>
        <v>0.56497175141242939</v>
      </c>
      <c r="F39" s="20">
        <f t="shared" si="5"/>
        <v>0.49447707788944723</v>
      </c>
      <c r="G39" s="20">
        <f t="shared" si="5"/>
        <v>0.40334029227557411</v>
      </c>
      <c r="H39" s="20">
        <f t="shared" si="5"/>
        <v>0.46004842615012109</v>
      </c>
      <c r="I39" s="21">
        <f t="shared" si="5"/>
        <v>0.44924406047516197</v>
      </c>
      <c r="J39" s="20">
        <f t="shared" si="5"/>
        <v>0.43196544276457882</v>
      </c>
      <c r="K39" s="20">
        <f t="shared" si="5"/>
        <v>0.42507645259938837</v>
      </c>
      <c r="L39" s="21">
        <f t="shared" si="5"/>
        <v>0.41837732160312807</v>
      </c>
      <c r="M39" s="20">
        <f t="shared" si="5"/>
        <v>0.41858325666973323</v>
      </c>
      <c r="N39" s="20">
        <f t="shared" si="5"/>
        <v>0.426497277676951</v>
      </c>
      <c r="O39" s="20">
        <f t="shared" si="5"/>
        <v>0.42424242424242425</v>
      </c>
      <c r="P39" s="20">
        <f t="shared" si="5"/>
        <v>0.426497277676951</v>
      </c>
    </row>
    <row r="40" spans="1:16">
      <c r="A40" t="s">
        <v>45</v>
      </c>
      <c r="B40" s="20"/>
      <c r="C40" s="5"/>
      <c r="D40" s="5"/>
      <c r="E40" s="5"/>
      <c r="F40" s="5"/>
      <c r="G40" s="5"/>
      <c r="H40" s="5"/>
      <c r="I40" s="7" t="s">
        <v>46</v>
      </c>
      <c r="J40" s="5"/>
      <c r="K40" s="5"/>
      <c r="L40" s="7"/>
      <c r="M40" s="5"/>
      <c r="N40" s="5"/>
      <c r="O40" s="5"/>
      <c r="P40" s="5"/>
    </row>
    <row r="41" spans="1:16">
      <c r="A41" t="s">
        <v>47</v>
      </c>
      <c r="B41" s="20"/>
      <c r="C41" s="5"/>
      <c r="D41" s="5"/>
      <c r="E41" s="5"/>
      <c r="F41" s="5"/>
      <c r="G41" s="5"/>
      <c r="H41" s="5"/>
      <c r="I41" s="7" t="s">
        <v>48</v>
      </c>
      <c r="J41" s="5"/>
      <c r="K41" s="5"/>
      <c r="L41" s="7"/>
      <c r="M41" s="5"/>
      <c r="N41" s="5"/>
      <c r="O41" s="5"/>
      <c r="P41" s="5"/>
    </row>
    <row r="42" spans="1:16">
      <c r="A42" t="s">
        <v>49</v>
      </c>
      <c r="B42" s="20"/>
      <c r="C42" s="5"/>
      <c r="D42" s="5"/>
      <c r="E42" s="5"/>
      <c r="F42" s="5"/>
      <c r="G42" s="5"/>
      <c r="H42" s="5"/>
      <c r="I42" s="7"/>
      <c r="J42" s="5"/>
      <c r="K42" s="5"/>
      <c r="L42" s="7"/>
      <c r="M42" s="5"/>
      <c r="N42" s="5"/>
      <c r="O42" s="5"/>
      <c r="P42" s="5"/>
    </row>
    <row r="43" spans="1:16">
      <c r="A43" t="s">
        <v>50</v>
      </c>
      <c r="B43" s="20"/>
      <c r="C43" s="5"/>
      <c r="D43" s="5"/>
      <c r="E43" s="5"/>
      <c r="F43" s="5"/>
      <c r="G43" s="5"/>
      <c r="H43" s="5"/>
      <c r="I43" s="7"/>
      <c r="J43" s="5"/>
      <c r="K43" s="5"/>
      <c r="L43" s="7"/>
      <c r="M43" s="5"/>
      <c r="N43" s="5"/>
      <c r="O43" s="5"/>
      <c r="P43" s="5"/>
    </row>
    <row r="44" spans="1:16">
      <c r="A44" t="s">
        <v>51</v>
      </c>
      <c r="B44" s="20"/>
      <c r="C44" s="5"/>
      <c r="D44" s="5"/>
      <c r="E44" s="5"/>
      <c r="F44" s="5"/>
      <c r="G44" s="5"/>
      <c r="H44" s="5"/>
      <c r="I44" s="7"/>
      <c r="J44" s="5"/>
      <c r="K44" s="5"/>
      <c r="L44" s="7"/>
      <c r="M44" s="5"/>
      <c r="N44" s="5"/>
      <c r="O44" s="5"/>
      <c r="P44" s="5"/>
    </row>
    <row r="45" spans="1:16">
      <c r="A45" t="s">
        <v>52</v>
      </c>
      <c r="B45" s="5"/>
      <c r="C45" s="5"/>
      <c r="D45" s="5"/>
      <c r="E45" s="5"/>
      <c r="F45" s="5"/>
      <c r="G45" s="5"/>
      <c r="H45" s="5"/>
      <c r="I45" s="7"/>
      <c r="J45" s="5"/>
      <c r="K45" s="5"/>
      <c r="L45" s="7"/>
      <c r="M45" s="5"/>
      <c r="N45" s="5"/>
      <c r="O45" s="5"/>
      <c r="P45" s="5"/>
    </row>
    <row r="46" spans="1:16">
      <c r="A46" t="s">
        <v>53</v>
      </c>
      <c r="B46" s="5">
        <v>2461866</v>
      </c>
      <c r="C46" s="22">
        <v>2461866</v>
      </c>
      <c r="D46" s="5"/>
      <c r="E46" s="22">
        <v>2461866</v>
      </c>
      <c r="F46" s="5"/>
      <c r="G46" s="5"/>
      <c r="H46" s="5"/>
      <c r="I46" s="7"/>
      <c r="J46" s="5"/>
      <c r="K46" s="5"/>
      <c r="L46" s="7"/>
      <c r="M46" s="5"/>
      <c r="N46" s="5"/>
      <c r="O46" s="5"/>
      <c r="P46" s="5"/>
    </row>
    <row r="47" spans="1:16">
      <c r="A47" t="s">
        <v>54</v>
      </c>
      <c r="B47" s="5">
        <v>200750</v>
      </c>
      <c r="C47" s="22">
        <v>200750</v>
      </c>
      <c r="D47" s="5"/>
      <c r="E47" s="22">
        <v>200750</v>
      </c>
      <c r="F47" s="5"/>
      <c r="G47" s="5"/>
      <c r="H47" s="5"/>
      <c r="I47" s="7"/>
      <c r="J47" s="5"/>
      <c r="K47" s="5"/>
      <c r="L47" s="7"/>
      <c r="M47" s="5"/>
      <c r="N47" s="5"/>
      <c r="O47" s="5"/>
      <c r="P47" s="5"/>
    </row>
    <row r="48" spans="1:16">
      <c r="A48" t="s">
        <v>55</v>
      </c>
      <c r="B48" s="5">
        <v>279473</v>
      </c>
      <c r="C48" s="22">
        <v>279473</v>
      </c>
      <c r="D48" s="5"/>
      <c r="E48" s="5"/>
      <c r="F48" s="5"/>
      <c r="G48" s="5"/>
      <c r="H48" s="5"/>
      <c r="I48" s="7"/>
      <c r="J48" s="5"/>
      <c r="K48" s="5"/>
      <c r="L48" s="7"/>
      <c r="M48" s="5"/>
      <c r="N48" s="5"/>
      <c r="O48" s="5"/>
      <c r="P48" s="5"/>
    </row>
    <row r="49" spans="1:16">
      <c r="A49" t="s">
        <v>56</v>
      </c>
      <c r="B49" s="5">
        <v>199430</v>
      </c>
      <c r="C49" s="22">
        <v>199430</v>
      </c>
      <c r="D49" s="5"/>
      <c r="E49" s="5"/>
      <c r="F49" s="5"/>
      <c r="G49" s="7" t="s">
        <v>57</v>
      </c>
      <c r="H49" s="5"/>
      <c r="I49" s="7"/>
      <c r="J49" s="5"/>
      <c r="K49" s="5"/>
      <c r="L49" s="7"/>
      <c r="M49" s="5"/>
      <c r="N49" s="5"/>
      <c r="O49" s="5"/>
      <c r="P49" s="5"/>
    </row>
    <row r="50" spans="1:16">
      <c r="A50" t="s">
        <v>58</v>
      </c>
      <c r="B50" s="5">
        <f>842253+220000</f>
        <v>1062253</v>
      </c>
      <c r="C50" s="22">
        <v>1000000</v>
      </c>
      <c r="D50" s="5">
        <v>750000</v>
      </c>
      <c r="E50" s="5">
        <v>750000</v>
      </c>
      <c r="F50" s="5">
        <v>750000</v>
      </c>
      <c r="G50" s="5">
        <v>600000</v>
      </c>
      <c r="H50" s="5">
        <v>600000</v>
      </c>
      <c r="I50" s="5">
        <v>600000</v>
      </c>
      <c r="J50" s="5"/>
      <c r="K50" s="5"/>
      <c r="L50" s="7"/>
      <c r="M50" s="5"/>
      <c r="N50" s="5"/>
      <c r="O50" s="5"/>
      <c r="P50" s="5"/>
    </row>
    <row r="51" spans="1:16">
      <c r="A51" s="18" t="s">
        <v>26</v>
      </c>
      <c r="B51" s="19">
        <f>SUM(B46:B50)</f>
        <v>4203772</v>
      </c>
      <c r="C51" s="5">
        <v>4000000</v>
      </c>
      <c r="D51" s="5">
        <v>3750000</v>
      </c>
      <c r="E51" s="5">
        <v>3750000</v>
      </c>
      <c r="F51" s="5">
        <v>3750000</v>
      </c>
      <c r="G51" s="5">
        <v>3600000</v>
      </c>
      <c r="H51" s="5">
        <v>3600000</v>
      </c>
      <c r="I51" s="5">
        <v>3600000</v>
      </c>
      <c r="J51" s="5">
        <v>3600000</v>
      </c>
      <c r="K51" s="5">
        <v>3600000</v>
      </c>
      <c r="L51" s="7">
        <v>3600000</v>
      </c>
      <c r="M51" s="5">
        <v>3600000</v>
      </c>
      <c r="N51" s="5">
        <v>3600000</v>
      </c>
      <c r="O51" s="5">
        <v>3600000</v>
      </c>
      <c r="P51" s="5">
        <v>3600000</v>
      </c>
    </row>
    <row r="52" spans="1:16">
      <c r="A52" t="s">
        <v>59</v>
      </c>
      <c r="B52" s="5"/>
      <c r="C52" s="5"/>
      <c r="D52" s="5"/>
      <c r="E52" s="5"/>
      <c r="F52" s="5"/>
      <c r="G52" s="5"/>
      <c r="H52" s="5"/>
      <c r="I52" s="7"/>
      <c r="J52" s="5"/>
      <c r="K52" s="5"/>
      <c r="L52" s="7"/>
      <c r="M52" s="5"/>
      <c r="N52" s="5"/>
      <c r="O52" s="5"/>
      <c r="P52" s="5"/>
    </row>
    <row r="53" spans="1:16">
      <c r="A53" t="s">
        <v>60</v>
      </c>
      <c r="B53" s="5">
        <v>9759261</v>
      </c>
      <c r="C53" s="5">
        <v>6939216</v>
      </c>
      <c r="D53" s="5">
        <v>5000000</v>
      </c>
      <c r="E53" s="22">
        <v>4500000</v>
      </c>
      <c r="F53" s="5">
        <v>4030000</v>
      </c>
      <c r="G53" s="5">
        <f>F5*0.45</f>
        <v>6750000</v>
      </c>
      <c r="H53" s="5">
        <f t="shared" ref="H53:P53" si="6">G5*0.4</f>
        <v>6000000</v>
      </c>
      <c r="I53" s="5">
        <f t="shared" si="6"/>
        <v>6000000</v>
      </c>
      <c r="J53" s="5">
        <f t="shared" si="6"/>
        <v>6800000</v>
      </c>
      <c r="K53" s="5">
        <f t="shared" si="6"/>
        <v>6800000</v>
      </c>
      <c r="L53" s="5">
        <f t="shared" si="6"/>
        <v>7200000</v>
      </c>
      <c r="M53" s="5">
        <f t="shared" si="6"/>
        <v>8800000</v>
      </c>
      <c r="N53" s="5">
        <f t="shared" si="6"/>
        <v>8800000</v>
      </c>
      <c r="O53" s="5">
        <f t="shared" si="6"/>
        <v>8800000</v>
      </c>
      <c r="P53" s="5">
        <f t="shared" si="6"/>
        <v>8800000</v>
      </c>
    </row>
    <row r="54" spans="1:16">
      <c r="A54" t="s">
        <v>61</v>
      </c>
      <c r="B54" s="5">
        <v>187000</v>
      </c>
      <c r="C54" s="5">
        <v>187000</v>
      </c>
      <c r="D54" s="5">
        <v>187000</v>
      </c>
      <c r="E54" s="5">
        <v>187000</v>
      </c>
      <c r="F54" s="5">
        <v>187000</v>
      </c>
      <c r="G54" s="5"/>
      <c r="H54" s="5"/>
      <c r="I54" s="7"/>
      <c r="J54" s="5"/>
      <c r="K54" s="5"/>
      <c r="L54" s="7"/>
      <c r="M54" s="5"/>
      <c r="N54" s="5"/>
      <c r="O54" s="5"/>
      <c r="P54" s="5"/>
    </row>
    <row r="55" spans="1:16">
      <c r="A55" t="s">
        <v>62</v>
      </c>
      <c r="B55" s="5"/>
      <c r="C55" s="5">
        <v>700000</v>
      </c>
      <c r="D55" s="5">
        <v>300000</v>
      </c>
      <c r="E55" s="5">
        <v>300000</v>
      </c>
      <c r="F55" s="5">
        <v>300000</v>
      </c>
      <c r="G55" s="5">
        <v>300000</v>
      </c>
      <c r="H55" s="5">
        <v>300000</v>
      </c>
      <c r="I55" s="7">
        <v>300000</v>
      </c>
      <c r="J55" s="5">
        <v>300000</v>
      </c>
      <c r="K55" s="5">
        <v>300000</v>
      </c>
      <c r="L55" s="7">
        <v>300000</v>
      </c>
      <c r="M55" s="5">
        <v>300000</v>
      </c>
      <c r="N55" s="5">
        <v>300000</v>
      </c>
      <c r="O55" s="5">
        <v>300000</v>
      </c>
      <c r="P55" s="5">
        <v>300000</v>
      </c>
    </row>
    <row r="56" spans="1:16">
      <c r="A56" t="s">
        <v>63</v>
      </c>
      <c r="B56" s="5"/>
      <c r="C56" s="5">
        <v>700000</v>
      </c>
      <c r="D56" s="5">
        <f>(C5-(C5*0.25)-D53-500000)*0.4</f>
        <v>1700000</v>
      </c>
      <c r="E56" s="5">
        <f>(D5-(D5*0.25)-E53)*0.4-500000</f>
        <v>2200000</v>
      </c>
      <c r="F56" s="5">
        <v>660000</v>
      </c>
      <c r="G56" s="5">
        <f>(F5-(F5*0.25)-G53)*0.4-700000</f>
        <v>1100000</v>
      </c>
      <c r="H56" s="5">
        <f t="shared" ref="H56:P56" si="7">(G5-(G5*0.25)-H53)*0.4-700000</f>
        <v>1400000</v>
      </c>
      <c r="I56" s="5">
        <f t="shared" si="7"/>
        <v>1400000</v>
      </c>
      <c r="J56" s="5">
        <f t="shared" si="7"/>
        <v>1680000</v>
      </c>
      <c r="K56" s="5">
        <f t="shared" si="7"/>
        <v>1680000</v>
      </c>
      <c r="L56" s="7">
        <f t="shared" si="7"/>
        <v>1820000</v>
      </c>
      <c r="M56" s="5">
        <f t="shared" si="7"/>
        <v>2380000</v>
      </c>
      <c r="N56" s="5">
        <f t="shared" si="7"/>
        <v>2380000</v>
      </c>
      <c r="O56" s="5">
        <f t="shared" si="7"/>
        <v>2380000</v>
      </c>
      <c r="P56" s="5">
        <f t="shared" si="7"/>
        <v>2380000</v>
      </c>
    </row>
    <row r="57" spans="1:16">
      <c r="A57" t="s">
        <v>64</v>
      </c>
      <c r="B57" s="5">
        <v>295800</v>
      </c>
      <c r="C57" s="5">
        <v>295800</v>
      </c>
      <c r="D57" s="5">
        <v>295800</v>
      </c>
      <c r="E57" s="5"/>
      <c r="F57" s="5">
        <v>295800</v>
      </c>
      <c r="G57" s="7" t="s">
        <v>65</v>
      </c>
      <c r="H57" s="5"/>
      <c r="I57" s="7"/>
      <c r="J57" s="5"/>
      <c r="K57" s="5"/>
      <c r="L57" s="7"/>
      <c r="M57" s="5"/>
      <c r="N57" s="5"/>
      <c r="O57" s="5"/>
      <c r="P57" s="5"/>
    </row>
    <row r="58" spans="1:16">
      <c r="A58" t="s">
        <v>66</v>
      </c>
      <c r="B58" s="5">
        <v>40000</v>
      </c>
      <c r="C58" s="5"/>
      <c r="D58" s="5"/>
      <c r="E58" s="5"/>
      <c r="F58" s="5"/>
      <c r="G58" s="5"/>
      <c r="H58" s="5"/>
      <c r="I58" s="7"/>
      <c r="J58" s="5"/>
      <c r="K58" s="5"/>
      <c r="L58" s="7"/>
      <c r="M58" s="5"/>
      <c r="N58" s="5"/>
      <c r="O58" s="5"/>
      <c r="P58" s="5"/>
    </row>
    <row r="59" spans="1:16">
      <c r="A59" s="18" t="s">
        <v>26</v>
      </c>
      <c r="B59" s="19">
        <f>SUM(B53:B58)</f>
        <v>10282061</v>
      </c>
      <c r="C59" s="23">
        <f>SUM(C53:C58)</f>
        <v>8822016</v>
      </c>
      <c r="D59" s="23">
        <f>SUM(D53:D58)</f>
        <v>7482800</v>
      </c>
      <c r="E59" s="23">
        <f t="shared" ref="E59:P59" si="8">SUM(E53:E58)</f>
        <v>7187000</v>
      </c>
      <c r="F59" s="23">
        <f t="shared" si="8"/>
        <v>5472800</v>
      </c>
      <c r="G59" s="23">
        <f t="shared" si="8"/>
        <v>8150000</v>
      </c>
      <c r="H59" s="23">
        <f t="shared" si="8"/>
        <v>7700000</v>
      </c>
      <c r="I59" s="24">
        <f t="shared" si="8"/>
        <v>7700000</v>
      </c>
      <c r="J59" s="23">
        <f t="shared" si="8"/>
        <v>8780000</v>
      </c>
      <c r="K59" s="23">
        <f t="shared" si="8"/>
        <v>8780000</v>
      </c>
      <c r="L59" s="24">
        <f t="shared" si="8"/>
        <v>9320000</v>
      </c>
      <c r="M59" s="23">
        <f t="shared" si="8"/>
        <v>11480000</v>
      </c>
      <c r="N59" s="23">
        <f t="shared" si="8"/>
        <v>11480000</v>
      </c>
      <c r="O59" s="23">
        <f t="shared" si="8"/>
        <v>11480000</v>
      </c>
      <c r="P59" s="23">
        <f t="shared" si="8"/>
        <v>11480000</v>
      </c>
    </row>
    <row r="60" spans="1:16">
      <c r="A60" t="s">
        <v>67</v>
      </c>
      <c r="B60" s="5"/>
      <c r="C60" s="5"/>
      <c r="D60" s="5"/>
      <c r="E60" s="5"/>
      <c r="F60" s="5"/>
      <c r="G60" s="5"/>
      <c r="H60" s="5"/>
      <c r="I60" s="7"/>
      <c r="J60" s="5"/>
      <c r="K60" s="5"/>
      <c r="L60" s="7"/>
      <c r="M60" s="5"/>
      <c r="N60" s="5"/>
      <c r="O60" s="5"/>
      <c r="P60" s="5"/>
    </row>
    <row r="61" spans="1:16">
      <c r="A61" t="s">
        <v>68</v>
      </c>
      <c r="B61" s="5">
        <v>343310</v>
      </c>
      <c r="C61" s="5"/>
      <c r="D61" s="5"/>
      <c r="E61" s="5"/>
      <c r="F61" s="5"/>
      <c r="G61" s="5"/>
      <c r="H61" s="5"/>
      <c r="I61" s="7"/>
      <c r="J61" s="5"/>
      <c r="K61" s="5"/>
      <c r="L61" s="7"/>
      <c r="M61" s="5"/>
      <c r="N61" s="5"/>
      <c r="O61" s="5"/>
      <c r="P61" s="5"/>
    </row>
    <row r="62" spans="1:16">
      <c r="A62" t="s">
        <v>69</v>
      </c>
      <c r="B62" s="5">
        <v>1708280</v>
      </c>
      <c r="C62" s="5"/>
      <c r="D62" s="5"/>
      <c r="E62" s="5"/>
      <c r="F62" s="5"/>
      <c r="G62" s="5"/>
      <c r="H62" s="5"/>
      <c r="I62" s="7"/>
      <c r="J62" s="5"/>
      <c r="K62" s="5"/>
      <c r="L62" s="7"/>
      <c r="M62" s="5"/>
      <c r="N62" s="5"/>
      <c r="O62" s="5"/>
      <c r="P62" s="5"/>
    </row>
    <row r="63" spans="1:16">
      <c r="A63" t="s">
        <v>70</v>
      </c>
      <c r="B63" s="5">
        <v>460754</v>
      </c>
      <c r="C63" s="5"/>
      <c r="D63" s="5"/>
      <c r="E63" s="5"/>
      <c r="F63" s="5"/>
      <c r="G63" s="5"/>
      <c r="H63" s="5"/>
      <c r="I63" s="7"/>
      <c r="J63" s="5"/>
      <c r="K63" s="5"/>
      <c r="L63" s="7"/>
      <c r="M63" s="5"/>
      <c r="N63" s="5"/>
      <c r="O63" s="5"/>
      <c r="P63" s="5"/>
    </row>
    <row r="64" spans="1:16">
      <c r="A64" t="s">
        <v>71</v>
      </c>
      <c r="B64" s="5">
        <v>626549</v>
      </c>
      <c r="C64" s="5"/>
      <c r="D64" s="5"/>
      <c r="E64" s="5"/>
      <c r="F64" s="5"/>
      <c r="G64" s="5"/>
      <c r="H64" s="5"/>
      <c r="I64" s="7"/>
      <c r="J64" s="5"/>
      <c r="K64" s="5"/>
      <c r="L64" s="7"/>
      <c r="M64" s="5"/>
      <c r="N64" s="5"/>
      <c r="O64" s="5"/>
      <c r="P64" s="5"/>
    </row>
    <row r="65" spans="1:16">
      <c r="A65" t="s">
        <v>72</v>
      </c>
      <c r="B65" s="5"/>
      <c r="C65" s="5"/>
      <c r="D65" s="5"/>
      <c r="E65" s="5">
        <v>800000</v>
      </c>
      <c r="F65" s="5">
        <v>800000</v>
      </c>
      <c r="G65" s="5">
        <v>800000</v>
      </c>
      <c r="H65" s="5">
        <v>800000</v>
      </c>
      <c r="I65" s="7">
        <v>800000</v>
      </c>
      <c r="J65" s="5">
        <v>800000</v>
      </c>
      <c r="K65" s="5">
        <v>400000</v>
      </c>
      <c r="L65" s="7">
        <v>400000</v>
      </c>
      <c r="M65" s="5">
        <v>400000</v>
      </c>
      <c r="N65" s="5">
        <v>400000</v>
      </c>
      <c r="O65" s="5">
        <v>400000</v>
      </c>
      <c r="P65" s="5">
        <v>400000</v>
      </c>
    </row>
    <row r="66" spans="1:16">
      <c r="A66" s="18" t="s">
        <v>26</v>
      </c>
      <c r="B66" s="19">
        <f>SUM(B61:B64)</f>
        <v>3138893</v>
      </c>
      <c r="C66" s="5">
        <v>3000000</v>
      </c>
      <c r="D66" s="5">
        <v>3000000</v>
      </c>
      <c r="E66" s="5">
        <f>(E9+E13)*0.35</f>
        <v>4200000</v>
      </c>
      <c r="F66" s="5">
        <f>(F9+F13)*0.35+F11*0.6</f>
        <v>3210000</v>
      </c>
      <c r="G66" s="5">
        <f t="shared" ref="G66:I66" si="9">(G9+G13)*0.35+G11*0.6</f>
        <v>4670000</v>
      </c>
      <c r="H66" s="5">
        <f t="shared" si="9"/>
        <v>3849999.9999999995</v>
      </c>
      <c r="I66" s="7">
        <f t="shared" si="9"/>
        <v>4375000</v>
      </c>
      <c r="J66" s="5">
        <f t="shared" ref="J66" si="10">J9*0.3+J11*0.6+J13*0.2+J65</f>
        <v>3900000</v>
      </c>
      <c r="K66" s="12">
        <f>K9*0.3+K11*0.55+K13*0.2+K15*0.35+K65</f>
        <v>4300000</v>
      </c>
      <c r="L66" s="7">
        <f t="shared" ref="L66:P66" si="11">L9*0.3+L11*0.55+L13*0.2+L15*0.35+L65</f>
        <v>3850000</v>
      </c>
      <c r="M66" s="12">
        <f t="shared" si="11"/>
        <v>4300000</v>
      </c>
      <c r="N66" s="12">
        <f t="shared" si="11"/>
        <v>4125000</v>
      </c>
      <c r="O66" s="12">
        <f t="shared" si="11"/>
        <v>4425000</v>
      </c>
      <c r="P66" s="12">
        <f t="shared" si="11"/>
        <v>4125000</v>
      </c>
    </row>
    <row r="67" spans="1:16">
      <c r="A67" t="s">
        <v>73</v>
      </c>
      <c r="B67" s="5"/>
      <c r="C67" s="5"/>
      <c r="D67" s="5"/>
      <c r="E67" s="5"/>
      <c r="F67" s="5"/>
      <c r="G67" s="5"/>
      <c r="H67" s="5"/>
      <c r="I67" s="7"/>
      <c r="J67" s="5"/>
      <c r="K67" s="7" t="s">
        <v>74</v>
      </c>
      <c r="L67" s="7"/>
      <c r="M67" s="5"/>
      <c r="N67" s="5"/>
      <c r="O67" s="5"/>
      <c r="P67" s="5"/>
    </row>
    <row r="68" spans="1:16">
      <c r="A68" t="s">
        <v>75</v>
      </c>
      <c r="B68" s="5"/>
      <c r="C68" s="5">
        <v>2000000</v>
      </c>
      <c r="D68" s="5"/>
      <c r="E68" s="5">
        <v>1000000</v>
      </c>
      <c r="F68" s="5">
        <f>561000+134090</f>
        <v>695090</v>
      </c>
      <c r="G68" s="5">
        <v>750000</v>
      </c>
      <c r="H68" s="5">
        <v>750000</v>
      </c>
      <c r="I68" s="5">
        <v>750000</v>
      </c>
      <c r="J68" s="5">
        <v>750000</v>
      </c>
      <c r="K68" s="5">
        <v>750000</v>
      </c>
      <c r="L68" s="7">
        <v>750000</v>
      </c>
      <c r="M68" s="5">
        <v>750000</v>
      </c>
      <c r="N68" s="5">
        <v>750000</v>
      </c>
      <c r="O68" s="5">
        <v>750000</v>
      </c>
      <c r="P68" s="5">
        <v>750000</v>
      </c>
    </row>
    <row r="69" spans="1:16">
      <c r="A69" t="s">
        <v>76</v>
      </c>
      <c r="B69" s="5"/>
      <c r="C69" s="5" t="s">
        <v>77</v>
      </c>
      <c r="D69" s="5">
        <v>4000000</v>
      </c>
      <c r="E69" s="5">
        <v>1000000</v>
      </c>
      <c r="F69" s="5" t="s">
        <v>78</v>
      </c>
      <c r="G69" s="5"/>
      <c r="H69" s="5"/>
      <c r="I69" s="7"/>
      <c r="J69" s="5"/>
      <c r="K69" s="5">
        <v>7000000</v>
      </c>
      <c r="L69" s="7"/>
      <c r="M69" s="5"/>
      <c r="N69" s="5"/>
      <c r="O69" s="5"/>
      <c r="P69" s="5">
        <v>8000000</v>
      </c>
    </row>
    <row r="70" spans="1:16">
      <c r="A70" s="18" t="s">
        <v>26</v>
      </c>
      <c r="B70" s="19">
        <f>SUM(B67:B69)</f>
        <v>0</v>
      </c>
      <c r="C70" s="23">
        <f t="shared" ref="C70:P70" si="12">SUM(C67:C69)</f>
        <v>2000000</v>
      </c>
      <c r="D70" s="23">
        <f t="shared" si="12"/>
        <v>4000000</v>
      </c>
      <c r="E70" s="23">
        <f t="shared" si="12"/>
        <v>2000000</v>
      </c>
      <c r="F70" s="23">
        <f t="shared" si="12"/>
        <v>695090</v>
      </c>
      <c r="G70" s="23">
        <f t="shared" si="12"/>
        <v>750000</v>
      </c>
      <c r="H70" s="23">
        <f t="shared" si="12"/>
        <v>750000</v>
      </c>
      <c r="I70" s="24">
        <f t="shared" si="12"/>
        <v>750000</v>
      </c>
      <c r="J70" s="23">
        <f t="shared" si="12"/>
        <v>750000</v>
      </c>
      <c r="K70" s="23">
        <f t="shared" si="12"/>
        <v>7750000</v>
      </c>
      <c r="L70" s="24">
        <f t="shared" si="12"/>
        <v>750000</v>
      </c>
      <c r="M70" s="23">
        <f t="shared" si="12"/>
        <v>750000</v>
      </c>
      <c r="N70" s="23">
        <f t="shared" si="12"/>
        <v>750000</v>
      </c>
      <c r="O70" s="23">
        <f t="shared" si="12"/>
        <v>750000</v>
      </c>
      <c r="P70" s="23">
        <f t="shared" si="12"/>
        <v>8750000</v>
      </c>
    </row>
    <row r="71" spans="1:16">
      <c r="B71" s="25"/>
      <c r="C71" s="5"/>
      <c r="D71" s="5"/>
      <c r="E71" s="5"/>
      <c r="F71" s="5"/>
      <c r="G71" s="5"/>
      <c r="H71" s="5"/>
      <c r="I71" s="7"/>
      <c r="J71" s="5"/>
      <c r="K71" s="5"/>
      <c r="L71" s="7"/>
      <c r="M71" s="5"/>
      <c r="N71" s="5"/>
      <c r="O71" s="5"/>
      <c r="P71" s="5"/>
    </row>
    <row r="72" spans="1:16">
      <c r="A72" t="s">
        <v>79</v>
      </c>
      <c r="B72" s="5"/>
      <c r="C72" s="5"/>
      <c r="D72" s="5"/>
      <c r="E72" s="5"/>
      <c r="F72" s="5"/>
      <c r="G72" s="5"/>
      <c r="H72" s="5"/>
      <c r="I72" s="7"/>
      <c r="J72" s="5"/>
      <c r="K72" s="5"/>
      <c r="L72" s="7"/>
      <c r="M72" s="5"/>
      <c r="N72" s="5"/>
      <c r="O72" s="5"/>
      <c r="P72" s="5"/>
    </row>
    <row r="73" spans="1:16">
      <c r="A73" t="s">
        <v>80</v>
      </c>
      <c r="B73" s="5">
        <v>1653689</v>
      </c>
      <c r="C73" s="5">
        <v>1430000</v>
      </c>
      <c r="D73" s="5">
        <v>1000000</v>
      </c>
      <c r="E73" s="5">
        <v>2000000</v>
      </c>
      <c r="F73" s="5">
        <v>3900000</v>
      </c>
      <c r="G73" s="5">
        <v>2000000</v>
      </c>
      <c r="H73" s="5">
        <v>2000000</v>
      </c>
      <c r="I73" s="5">
        <v>2000000</v>
      </c>
      <c r="J73" s="5">
        <v>2000000</v>
      </c>
      <c r="K73" s="5">
        <v>2500000</v>
      </c>
      <c r="L73" s="5">
        <v>2500000</v>
      </c>
      <c r="M73" s="5">
        <v>2500000</v>
      </c>
      <c r="N73" s="5">
        <v>2500000</v>
      </c>
      <c r="O73" s="5">
        <v>2500000</v>
      </c>
      <c r="P73" s="5">
        <v>2500000</v>
      </c>
    </row>
    <row r="74" spans="1:16">
      <c r="A74" t="s">
        <v>81</v>
      </c>
      <c r="B74" s="5">
        <v>1758956</v>
      </c>
      <c r="D74" s="5"/>
      <c r="E74" s="5"/>
      <c r="F74" s="5"/>
      <c r="G74" s="5"/>
      <c r="H74" s="5"/>
      <c r="I74" s="7"/>
      <c r="J74" s="5"/>
      <c r="K74" s="7" t="s">
        <v>82</v>
      </c>
      <c r="L74" s="7"/>
      <c r="M74" s="5"/>
      <c r="N74" s="5"/>
      <c r="O74" s="5"/>
      <c r="P74" s="5"/>
    </row>
    <row r="75" spans="1:16">
      <c r="A75" s="18" t="s">
        <v>26</v>
      </c>
      <c r="B75" s="19">
        <f>SUM(B73:B74)</f>
        <v>3412645</v>
      </c>
      <c r="C75" s="5">
        <f>SUM(C73:C74)</f>
        <v>1430000</v>
      </c>
      <c r="D75" s="23">
        <f>SUM(D73:D74)</f>
        <v>1000000</v>
      </c>
      <c r="E75" s="23">
        <f t="shared" ref="E75:P75" si="13">SUM(E73:E74)</f>
        <v>2000000</v>
      </c>
      <c r="F75" s="23">
        <f t="shared" si="13"/>
        <v>3900000</v>
      </c>
      <c r="G75" s="23">
        <f t="shared" si="13"/>
        <v>2000000</v>
      </c>
      <c r="H75" s="23">
        <f t="shared" si="13"/>
        <v>2000000</v>
      </c>
      <c r="I75" s="24">
        <f t="shared" si="13"/>
        <v>2000000</v>
      </c>
      <c r="J75" s="23">
        <f t="shared" si="13"/>
        <v>2000000</v>
      </c>
      <c r="K75" s="23">
        <f t="shared" si="13"/>
        <v>2500000</v>
      </c>
      <c r="L75" s="24">
        <f t="shared" si="13"/>
        <v>2500000</v>
      </c>
      <c r="M75" s="23">
        <f t="shared" si="13"/>
        <v>2500000</v>
      </c>
      <c r="N75" s="23">
        <f t="shared" si="13"/>
        <v>2500000</v>
      </c>
      <c r="O75" s="23">
        <f t="shared" si="13"/>
        <v>2500000</v>
      </c>
      <c r="P75" s="23">
        <f t="shared" si="13"/>
        <v>2500000</v>
      </c>
    </row>
    <row r="76" spans="1:16">
      <c r="A76" t="s">
        <v>83</v>
      </c>
      <c r="B76" s="5"/>
      <c r="C76" s="5"/>
      <c r="D76" s="5"/>
      <c r="E76" s="5"/>
      <c r="F76" s="5"/>
      <c r="G76" s="5"/>
      <c r="H76" s="5"/>
      <c r="I76" s="7"/>
      <c r="J76" s="5"/>
      <c r="K76" s="5"/>
      <c r="L76" s="7"/>
      <c r="M76" s="5"/>
      <c r="N76" s="5"/>
      <c r="O76" s="5"/>
      <c r="P76" s="5"/>
    </row>
    <row r="77" spans="1:16">
      <c r="A77" t="s">
        <v>84</v>
      </c>
      <c r="B77" s="5">
        <v>300000</v>
      </c>
      <c r="C77" s="5">
        <v>600000</v>
      </c>
      <c r="D77" s="5">
        <v>300000</v>
      </c>
      <c r="E77" s="5">
        <v>150000</v>
      </c>
      <c r="F77" s="5">
        <v>300000</v>
      </c>
      <c r="G77" s="5">
        <v>100000</v>
      </c>
      <c r="H77" s="5">
        <v>100000</v>
      </c>
      <c r="I77" s="7">
        <v>100000</v>
      </c>
      <c r="J77" s="5">
        <v>100000</v>
      </c>
      <c r="K77" s="5">
        <v>100000</v>
      </c>
      <c r="L77" s="7">
        <v>100000</v>
      </c>
      <c r="M77" s="5">
        <v>100000</v>
      </c>
      <c r="N77" s="5">
        <v>100000</v>
      </c>
      <c r="O77" s="5">
        <v>100000</v>
      </c>
      <c r="P77" s="5">
        <v>100000</v>
      </c>
    </row>
    <row r="78" spans="1:16">
      <c r="A78" t="s">
        <v>85</v>
      </c>
      <c r="B78" s="5">
        <v>1967465</v>
      </c>
      <c r="C78" s="5">
        <v>2000000</v>
      </c>
      <c r="D78" s="5">
        <v>500000</v>
      </c>
      <c r="E78" s="5">
        <v>500000</v>
      </c>
      <c r="F78" s="5">
        <v>1200000</v>
      </c>
      <c r="G78" s="5">
        <v>500000</v>
      </c>
      <c r="H78" s="5">
        <v>300000</v>
      </c>
      <c r="I78" s="5">
        <v>300000</v>
      </c>
      <c r="J78" s="5">
        <v>500000</v>
      </c>
      <c r="K78" s="5">
        <v>500000</v>
      </c>
      <c r="L78" s="7">
        <v>500000</v>
      </c>
      <c r="M78" s="5">
        <v>500000</v>
      </c>
      <c r="N78" s="5">
        <v>500000</v>
      </c>
      <c r="O78" s="5">
        <v>500000</v>
      </c>
      <c r="P78" s="5">
        <v>500000</v>
      </c>
    </row>
    <row r="79" spans="1:16">
      <c r="A79" t="s">
        <v>86</v>
      </c>
      <c r="C79" s="5"/>
      <c r="D79" s="5"/>
      <c r="E79" s="5"/>
      <c r="F79" s="5">
        <v>150000</v>
      </c>
      <c r="G79" s="5">
        <v>150000</v>
      </c>
      <c r="H79" s="5">
        <v>150000</v>
      </c>
      <c r="I79" s="5">
        <v>150000</v>
      </c>
      <c r="J79" s="5">
        <v>150000</v>
      </c>
      <c r="K79" s="5">
        <v>150000</v>
      </c>
      <c r="L79" s="7">
        <v>150000</v>
      </c>
      <c r="M79" s="5">
        <v>150000</v>
      </c>
      <c r="N79" s="5">
        <v>150000</v>
      </c>
      <c r="O79" s="5">
        <v>150000</v>
      </c>
      <c r="P79" s="5">
        <v>150000</v>
      </c>
    </row>
    <row r="80" spans="1:16">
      <c r="A80" t="s">
        <v>87</v>
      </c>
      <c r="C80" s="5"/>
      <c r="D80" s="5"/>
      <c r="E80" s="5"/>
      <c r="F80" s="5"/>
      <c r="G80" s="5">
        <v>200000</v>
      </c>
      <c r="H80" s="5">
        <v>200000</v>
      </c>
      <c r="I80" s="7">
        <v>200000</v>
      </c>
      <c r="J80" s="12">
        <v>200000</v>
      </c>
      <c r="K80" s="12">
        <v>200000</v>
      </c>
      <c r="L80" s="7">
        <v>200000</v>
      </c>
      <c r="M80" s="12">
        <v>200000</v>
      </c>
      <c r="N80" s="12">
        <v>200000</v>
      </c>
      <c r="O80" s="12">
        <v>200000</v>
      </c>
      <c r="P80" s="12">
        <v>200000</v>
      </c>
    </row>
    <row r="81" spans="1:17">
      <c r="A81" t="s">
        <v>88</v>
      </c>
      <c r="B81" s="5">
        <v>400000</v>
      </c>
      <c r="C81" s="5">
        <v>400000</v>
      </c>
      <c r="D81" s="5">
        <v>400000</v>
      </c>
      <c r="E81" s="5">
        <v>400000</v>
      </c>
      <c r="F81" s="5">
        <v>400000</v>
      </c>
      <c r="G81" s="5">
        <v>400000</v>
      </c>
      <c r="H81" s="5">
        <v>400000</v>
      </c>
      <c r="I81" s="7">
        <v>400000</v>
      </c>
      <c r="J81" s="5">
        <v>400000</v>
      </c>
      <c r="K81" s="5">
        <v>400000</v>
      </c>
      <c r="L81" s="7">
        <v>400000</v>
      </c>
      <c r="M81" s="5">
        <v>400000</v>
      </c>
      <c r="N81" s="5">
        <v>400000</v>
      </c>
      <c r="O81" s="5">
        <v>400000</v>
      </c>
      <c r="P81" s="5">
        <v>400000</v>
      </c>
    </row>
    <row r="82" spans="1:17">
      <c r="A82" t="s">
        <v>89</v>
      </c>
      <c r="B82" s="5">
        <v>270000</v>
      </c>
      <c r="C82" s="5">
        <v>270000</v>
      </c>
      <c r="D82" s="5">
        <v>270000</v>
      </c>
      <c r="E82" s="5">
        <v>270000</v>
      </c>
      <c r="F82" s="5">
        <v>270000</v>
      </c>
      <c r="G82" s="5">
        <v>270000</v>
      </c>
      <c r="H82" s="5">
        <v>500000</v>
      </c>
      <c r="I82" s="7">
        <v>500000</v>
      </c>
      <c r="J82" s="5">
        <v>500000</v>
      </c>
      <c r="K82" s="5">
        <v>500000</v>
      </c>
      <c r="L82" s="7">
        <v>500000</v>
      </c>
      <c r="M82" s="5">
        <v>500000</v>
      </c>
      <c r="N82" s="5">
        <v>500000</v>
      </c>
      <c r="O82" s="5">
        <v>500000</v>
      </c>
      <c r="P82" s="5">
        <v>500000</v>
      </c>
    </row>
    <row r="83" spans="1:17" ht="18.5" thickBot="1">
      <c r="A83" t="s">
        <v>90</v>
      </c>
      <c r="B83" s="5"/>
      <c r="C83" s="5">
        <v>500000</v>
      </c>
      <c r="D83" s="5"/>
      <c r="E83" s="5"/>
      <c r="F83" s="5"/>
      <c r="G83" s="5"/>
      <c r="H83" s="5"/>
      <c r="I83" s="7"/>
      <c r="J83" s="5"/>
      <c r="K83" s="5"/>
      <c r="L83" s="7"/>
      <c r="M83" s="5"/>
      <c r="N83" s="5"/>
      <c r="O83" s="5"/>
      <c r="P83" s="5"/>
    </row>
    <row r="84" spans="1:17">
      <c r="A84" s="18" t="s">
        <v>26</v>
      </c>
      <c r="B84" s="19">
        <f>SUM(B77:B82)</f>
        <v>2937465</v>
      </c>
      <c r="C84" s="23">
        <f>SUM(C77:C83)</f>
        <v>3770000</v>
      </c>
      <c r="D84" s="23">
        <f>SUM(D77:D82)</f>
        <v>1470000</v>
      </c>
      <c r="E84" s="23">
        <f t="shared" ref="E84:P84" si="14">SUM(E77:E82)</f>
        <v>1320000</v>
      </c>
      <c r="F84" s="23">
        <f t="shared" si="14"/>
        <v>2320000</v>
      </c>
      <c r="G84" s="23">
        <f t="shared" si="14"/>
        <v>1620000</v>
      </c>
      <c r="H84" s="23">
        <f t="shared" si="14"/>
        <v>1650000</v>
      </c>
      <c r="I84" s="26">
        <f t="shared" si="14"/>
        <v>1650000</v>
      </c>
      <c r="J84" s="23">
        <f t="shared" si="14"/>
        <v>1850000</v>
      </c>
      <c r="K84" s="23">
        <f t="shared" si="14"/>
        <v>1850000</v>
      </c>
      <c r="L84" s="26">
        <f t="shared" si="14"/>
        <v>1850000</v>
      </c>
      <c r="M84" s="23">
        <f t="shared" si="14"/>
        <v>1850000</v>
      </c>
      <c r="N84" s="23">
        <f t="shared" si="14"/>
        <v>1850000</v>
      </c>
      <c r="O84" s="23">
        <f t="shared" si="14"/>
        <v>1850000</v>
      </c>
      <c r="P84" s="23">
        <f t="shared" si="14"/>
        <v>1850000</v>
      </c>
    </row>
    <row r="85" spans="1:17">
      <c r="A85" s="27" t="s">
        <v>91</v>
      </c>
      <c r="B85" s="19"/>
      <c r="C85" s="24">
        <f>C26</f>
        <v>42200000</v>
      </c>
      <c r="D85" s="24">
        <f t="shared" ref="D85:P85" si="15">D26</f>
        <v>36335000</v>
      </c>
      <c r="E85" s="24">
        <f t="shared" si="15"/>
        <v>35400000</v>
      </c>
      <c r="F85" s="24">
        <f t="shared" si="15"/>
        <v>39800000</v>
      </c>
      <c r="G85" s="24">
        <f t="shared" si="15"/>
        <v>47900000</v>
      </c>
      <c r="H85" s="24">
        <f t="shared" si="15"/>
        <v>41300000</v>
      </c>
      <c r="I85" s="28">
        <f t="shared" si="15"/>
        <v>46300000</v>
      </c>
      <c r="J85" s="24">
        <f t="shared" si="15"/>
        <v>46300000</v>
      </c>
      <c r="K85" s="24">
        <f t="shared" si="15"/>
        <v>49050000</v>
      </c>
      <c r="L85" s="28">
        <f t="shared" si="15"/>
        <v>51150000</v>
      </c>
      <c r="M85" s="24">
        <f t="shared" si="15"/>
        <v>54350000</v>
      </c>
      <c r="N85" s="24">
        <f t="shared" si="15"/>
        <v>55100000</v>
      </c>
      <c r="O85" s="24">
        <f t="shared" si="15"/>
        <v>56100000</v>
      </c>
      <c r="P85" s="24">
        <f t="shared" si="15"/>
        <v>55100000</v>
      </c>
    </row>
    <row r="86" spans="1:17">
      <c r="A86" s="27" t="s">
        <v>92</v>
      </c>
      <c r="B86" s="29"/>
      <c r="C86" s="30">
        <f>C38+C51+C59+C66+C70+C75+C84</f>
        <v>42026947</v>
      </c>
      <c r="D86" s="31">
        <f t="shared" ref="D86:P86" si="16">D38+D51+D59+D66+D70+D75+D84</f>
        <v>39202800</v>
      </c>
      <c r="E86" s="31">
        <f t="shared" si="16"/>
        <v>40457000</v>
      </c>
      <c r="F86" s="31">
        <f t="shared" si="16"/>
        <v>39028077.700000003</v>
      </c>
      <c r="G86" s="31">
        <f t="shared" si="16"/>
        <v>40110000</v>
      </c>
      <c r="H86" s="31">
        <f t="shared" si="16"/>
        <v>38550000</v>
      </c>
      <c r="I86" s="32">
        <f t="shared" si="16"/>
        <v>40875000</v>
      </c>
      <c r="J86" s="31">
        <f t="shared" si="16"/>
        <v>40880000</v>
      </c>
      <c r="K86" s="31">
        <f t="shared" si="16"/>
        <v>49630000</v>
      </c>
      <c r="L86" s="32">
        <f t="shared" si="16"/>
        <v>43270000</v>
      </c>
      <c r="M86" s="31">
        <f t="shared" si="16"/>
        <v>47230000</v>
      </c>
      <c r="N86" s="31">
        <f t="shared" si="16"/>
        <v>47805000</v>
      </c>
      <c r="O86" s="31">
        <f t="shared" si="16"/>
        <v>48405000</v>
      </c>
      <c r="P86" s="31">
        <f t="shared" si="16"/>
        <v>55805000</v>
      </c>
    </row>
    <row r="87" spans="1:17">
      <c r="A87" s="27" t="s">
        <v>93</v>
      </c>
      <c r="B87" s="29"/>
      <c r="C87" s="33">
        <f>C26/1.1</f>
        <v>38363636.36363636</v>
      </c>
      <c r="D87" s="24">
        <f t="shared" ref="D87:N87" si="17">D26/1.1</f>
        <v>33031818.18181818</v>
      </c>
      <c r="E87" s="24">
        <f t="shared" si="17"/>
        <v>32181818.18181818</v>
      </c>
      <c r="F87" s="24">
        <f t="shared" si="17"/>
        <v>36181818.18181818</v>
      </c>
      <c r="G87" s="24">
        <f t="shared" si="17"/>
        <v>43545454.545454539</v>
      </c>
      <c r="H87" s="24">
        <f t="shared" si="17"/>
        <v>37545454.545454539</v>
      </c>
      <c r="I87" s="28">
        <f t="shared" si="17"/>
        <v>42090909.090909086</v>
      </c>
      <c r="J87" s="24">
        <f t="shared" si="17"/>
        <v>42090909.090909086</v>
      </c>
      <c r="K87" s="24">
        <f t="shared" si="17"/>
        <v>44590909.090909086</v>
      </c>
      <c r="L87" s="28">
        <f t="shared" si="17"/>
        <v>46499999.999999993</v>
      </c>
      <c r="M87" s="24">
        <f t="shared" si="17"/>
        <v>49409090.909090906</v>
      </c>
      <c r="N87" s="24">
        <f t="shared" si="17"/>
        <v>50090909.090909086</v>
      </c>
      <c r="O87" s="24">
        <f>O85/1.1</f>
        <v>50999999.999999993</v>
      </c>
      <c r="P87" s="24">
        <f>P85/1.1</f>
        <v>50090909.090909086</v>
      </c>
      <c r="Q87" s="11">
        <f>SUM(E87:P87)</f>
        <v>525318181.81818175</v>
      </c>
    </row>
    <row r="88" spans="1:17">
      <c r="A88" s="34" t="s">
        <v>94</v>
      </c>
      <c r="B88" s="29"/>
      <c r="C88" s="35">
        <f>C86-2500000</f>
        <v>39526947</v>
      </c>
      <c r="D88" s="23">
        <f>D86-((D85-D87)-1600000)</f>
        <v>37499618.18181818</v>
      </c>
      <c r="E88" s="23">
        <f>E86-((E85-E87)-1600000)</f>
        <v>38838818.18181818</v>
      </c>
      <c r="F88" s="23">
        <f>F86-((F85-F87)-1600000)</f>
        <v>37009895.881818183</v>
      </c>
      <c r="G88" s="23">
        <f t="shared" ref="G88:P88" si="18">G86-((G85-G87)-1600000)</f>
        <v>37355454.545454539</v>
      </c>
      <c r="H88" s="23">
        <f t="shared" si="18"/>
        <v>36395454.545454539</v>
      </c>
      <c r="I88" s="36">
        <f t="shared" si="18"/>
        <v>38265909.090909086</v>
      </c>
      <c r="J88" s="23">
        <f t="shared" si="18"/>
        <v>38270909.090909086</v>
      </c>
      <c r="K88" s="23">
        <f t="shared" si="18"/>
        <v>46770909.090909086</v>
      </c>
      <c r="L88" s="28">
        <f t="shared" si="18"/>
        <v>40219999.999999993</v>
      </c>
      <c r="M88" s="23">
        <f t="shared" si="18"/>
        <v>43889090.909090906</v>
      </c>
      <c r="N88" s="23">
        <f t="shared" si="18"/>
        <v>44395909.090909086</v>
      </c>
      <c r="O88" s="23">
        <f t="shared" si="18"/>
        <v>44904999.999999993</v>
      </c>
      <c r="P88" s="23">
        <f t="shared" si="18"/>
        <v>52395909.090909086</v>
      </c>
      <c r="Q88" t="s">
        <v>95</v>
      </c>
    </row>
    <row r="89" spans="1:17">
      <c r="A89" s="27" t="s">
        <v>96</v>
      </c>
      <c r="B89" s="29"/>
      <c r="C89" s="37">
        <f>C87-C88</f>
        <v>-1163310.6363636404</v>
      </c>
      <c r="D89" s="24">
        <f t="shared" ref="D89:P89" si="19">D87-D88</f>
        <v>-4467800</v>
      </c>
      <c r="E89" s="24">
        <f t="shared" si="19"/>
        <v>-6657000</v>
      </c>
      <c r="F89" s="24">
        <f t="shared" si="19"/>
        <v>-828077.70000000298</v>
      </c>
      <c r="G89" s="24">
        <f t="shared" si="19"/>
        <v>6190000</v>
      </c>
      <c r="H89" s="24">
        <f t="shared" si="19"/>
        <v>1150000</v>
      </c>
      <c r="I89" s="28">
        <f t="shared" si="19"/>
        <v>3825000</v>
      </c>
      <c r="J89" s="24">
        <f t="shared" si="19"/>
        <v>3820000</v>
      </c>
      <c r="K89" s="24">
        <f t="shared" si="19"/>
        <v>-2180000</v>
      </c>
      <c r="L89" s="28">
        <f t="shared" si="19"/>
        <v>6280000</v>
      </c>
      <c r="M89" s="24">
        <f t="shared" si="19"/>
        <v>5520000</v>
      </c>
      <c r="N89" s="24">
        <f t="shared" si="19"/>
        <v>5695000</v>
      </c>
      <c r="O89" s="24">
        <f t="shared" si="19"/>
        <v>6095000</v>
      </c>
      <c r="P89" s="24">
        <f t="shared" si="19"/>
        <v>-2305000</v>
      </c>
      <c r="Q89" s="11">
        <f>SUM(E89:P89)</f>
        <v>26604922.299999997</v>
      </c>
    </row>
    <row r="90" spans="1:17">
      <c r="A90" s="34" t="s">
        <v>97</v>
      </c>
      <c r="B90" s="29"/>
      <c r="C90" s="35">
        <f>C87*0.1</f>
        <v>3836363.6363636362</v>
      </c>
      <c r="D90" s="23">
        <f t="shared" ref="D90:P90" si="20">D87*0.1</f>
        <v>3303181.8181818184</v>
      </c>
      <c r="E90" s="23">
        <f t="shared" si="20"/>
        <v>3218181.8181818184</v>
      </c>
      <c r="F90" s="23">
        <f t="shared" si="20"/>
        <v>3618181.8181818184</v>
      </c>
      <c r="G90" s="23">
        <f t="shared" si="20"/>
        <v>4354545.4545454541</v>
      </c>
      <c r="H90" s="23">
        <f t="shared" si="20"/>
        <v>3754545.4545454541</v>
      </c>
      <c r="I90" s="36">
        <f t="shared" si="20"/>
        <v>4209090.9090909092</v>
      </c>
      <c r="J90" s="23">
        <f t="shared" si="20"/>
        <v>4209090.9090909092</v>
      </c>
      <c r="K90" s="23">
        <f t="shared" si="20"/>
        <v>4459090.9090909092</v>
      </c>
      <c r="L90" s="28">
        <f t="shared" si="20"/>
        <v>4649999.9999999991</v>
      </c>
      <c r="M90" s="23">
        <f t="shared" si="20"/>
        <v>4940909.0909090908</v>
      </c>
      <c r="N90" s="23">
        <f t="shared" si="20"/>
        <v>5009090.9090909092</v>
      </c>
      <c r="O90" s="23">
        <f t="shared" si="20"/>
        <v>5100000</v>
      </c>
      <c r="P90" s="23">
        <f t="shared" si="20"/>
        <v>5009090.9090909092</v>
      </c>
      <c r="Q90" s="11">
        <f>SUM(E90:P90)</f>
        <v>52531818.18181818</v>
      </c>
    </row>
    <row r="91" spans="1:17" ht="18.5" thickBot="1">
      <c r="A91" s="34" t="s">
        <v>98</v>
      </c>
      <c r="B91" s="5"/>
      <c r="C91" s="5"/>
      <c r="D91" s="5"/>
      <c r="E91" s="5"/>
      <c r="F91" s="5"/>
      <c r="G91" s="5"/>
      <c r="H91" s="5"/>
      <c r="I91" s="38">
        <f>I89/I87</f>
        <v>9.087473002159828E-2</v>
      </c>
      <c r="J91" s="5"/>
      <c r="K91" s="5"/>
      <c r="L91" s="38">
        <f>L89/L87</f>
        <v>0.13505376344086023</v>
      </c>
      <c r="M91" s="5"/>
      <c r="N91" s="5"/>
      <c r="O91" s="5"/>
      <c r="P91" s="5"/>
    </row>
    <row r="92" spans="1:17" ht="18.5" thickBot="1">
      <c r="A92" t="s">
        <v>99</v>
      </c>
      <c r="B92" s="5"/>
      <c r="C92" s="5"/>
      <c r="D92" s="5"/>
      <c r="E92" s="5"/>
      <c r="F92" s="5"/>
      <c r="G92" s="5"/>
      <c r="H92" s="5"/>
      <c r="I92" s="7"/>
      <c r="J92" s="5"/>
      <c r="K92" s="5"/>
      <c r="L92" s="7"/>
      <c r="M92" s="5"/>
      <c r="N92" s="5"/>
      <c r="O92" s="5"/>
      <c r="P92" s="5"/>
    </row>
    <row r="93" spans="1:17" ht="18.5" thickBot="1">
      <c r="A93" s="39" t="s">
        <v>100</v>
      </c>
      <c r="B93" s="40">
        <f t="shared" ref="B93:J93" si="21">B26-B38-B51-B59-B66-B70-B75-B84</f>
        <v>3063496</v>
      </c>
      <c r="C93" s="40">
        <f t="shared" si="21"/>
        <v>173053</v>
      </c>
      <c r="D93" s="40">
        <f t="shared" si="21"/>
        <v>-2867800</v>
      </c>
      <c r="E93" s="40">
        <f t="shared" si="21"/>
        <v>-5057000</v>
      </c>
      <c r="F93" s="40">
        <f t="shared" si="21"/>
        <v>771922.30000000075</v>
      </c>
      <c r="G93" s="40">
        <f t="shared" si="21"/>
        <v>7790000</v>
      </c>
      <c r="H93" s="40">
        <f t="shared" si="21"/>
        <v>2750000</v>
      </c>
      <c r="I93" s="41">
        <f t="shared" si="21"/>
        <v>5425000</v>
      </c>
      <c r="J93" s="40">
        <f t="shared" si="21"/>
        <v>5420000</v>
      </c>
      <c r="K93" s="40">
        <f>K26-K38-K51-K59-K66-K69-K75-K84</f>
        <v>170000</v>
      </c>
      <c r="L93" s="41">
        <f>L26-L38-L51-L59-L66-L70-L75-L84</f>
        <v>7880000</v>
      </c>
      <c r="M93" s="40">
        <f>M26-M38-M51-M59-M66-M70-M75-M84</f>
        <v>7120000</v>
      </c>
      <c r="N93" s="40">
        <f>N26-N38-N51-N59-N66-N70-N75-N84</f>
        <v>7295000</v>
      </c>
      <c r="O93" s="40">
        <f>O26-O38-O51-O59-O66-O70-O75-O84</f>
        <v>7695000</v>
      </c>
      <c r="P93" s="40">
        <f>P26-P38-P51-P59-P66-P70-P75-P84</f>
        <v>-705000</v>
      </c>
      <c r="Q93" s="42">
        <f>SUM(E93:P93)</f>
        <v>46554922.299999997</v>
      </c>
    </row>
    <row r="94" spans="1:17">
      <c r="A94" t="s">
        <v>101</v>
      </c>
      <c r="B94" s="43">
        <f t="shared" ref="B94:Q94" si="22">B93/B26</f>
        <v>6.6434698271249135E-2</v>
      </c>
      <c r="C94" s="43">
        <f t="shared" si="22"/>
        <v>4.1007819905213268E-3</v>
      </c>
      <c r="D94" s="43">
        <f t="shared" si="22"/>
        <v>-7.8926654740608226E-2</v>
      </c>
      <c r="E94" s="43">
        <f t="shared" si="22"/>
        <v>-0.14285310734463277</v>
      </c>
      <c r="F94" s="43">
        <f t="shared" si="22"/>
        <v>1.9395032663316603E-2</v>
      </c>
      <c r="G94" s="43">
        <f t="shared" si="22"/>
        <v>0.16263048016701462</v>
      </c>
      <c r="H94" s="43">
        <f t="shared" si="22"/>
        <v>6.6585956416464892E-2</v>
      </c>
      <c r="I94" s="44">
        <f t="shared" si="22"/>
        <v>0.117170626349892</v>
      </c>
      <c r="J94" s="43">
        <f t="shared" si="22"/>
        <v>0.11706263498920086</v>
      </c>
      <c r="K94" s="43">
        <f t="shared" si="22"/>
        <v>3.4658511722731908E-3</v>
      </c>
      <c r="L94" s="44">
        <f t="shared" si="22"/>
        <v>0.15405669599217986</v>
      </c>
      <c r="M94" s="43">
        <f t="shared" si="22"/>
        <v>0.13100275988960441</v>
      </c>
      <c r="N94" s="43">
        <f t="shared" si="22"/>
        <v>0.13239564428312159</v>
      </c>
      <c r="O94" s="43">
        <f t="shared" si="22"/>
        <v>0.13716577540106953</v>
      </c>
      <c r="P94" s="43">
        <f t="shared" si="22"/>
        <v>-1.2794918330308529E-2</v>
      </c>
      <c r="Q94" s="43">
        <f t="shared" si="22"/>
        <v>8.186920302470764E-2</v>
      </c>
    </row>
    <row r="95" spans="1:17">
      <c r="A95" s="39" t="s">
        <v>102</v>
      </c>
      <c r="B95" s="40">
        <f t="shared" ref="B95:P95" si="23">B26-B38-B51-B59-B66-B73</f>
        <v>7759917</v>
      </c>
      <c r="C95" s="40">
        <f t="shared" si="23"/>
        <v>5943053</v>
      </c>
      <c r="D95" s="40">
        <f t="shared" si="23"/>
        <v>2602200</v>
      </c>
      <c r="E95" s="40">
        <f t="shared" si="23"/>
        <v>-1737000</v>
      </c>
      <c r="F95" s="40">
        <f t="shared" si="23"/>
        <v>3787012.3000000007</v>
      </c>
      <c r="G95" s="40">
        <f t="shared" si="23"/>
        <v>10160000</v>
      </c>
      <c r="H95" s="40">
        <f t="shared" si="23"/>
        <v>5150000</v>
      </c>
      <c r="I95" s="45">
        <f t="shared" si="23"/>
        <v>7825000</v>
      </c>
      <c r="J95" s="40">
        <f t="shared" si="23"/>
        <v>8020000</v>
      </c>
      <c r="K95" s="40">
        <f t="shared" si="23"/>
        <v>9020000</v>
      </c>
      <c r="L95" s="45">
        <f t="shared" si="23"/>
        <v>10480000</v>
      </c>
      <c r="M95" s="40">
        <f t="shared" si="23"/>
        <v>9720000</v>
      </c>
      <c r="N95" s="40">
        <f t="shared" si="23"/>
        <v>9895000</v>
      </c>
      <c r="O95" s="40">
        <f t="shared" si="23"/>
        <v>10295000</v>
      </c>
      <c r="P95" s="40">
        <f t="shared" si="23"/>
        <v>9895000</v>
      </c>
      <c r="Q95" s="42">
        <f>SUM(E95:P95)</f>
        <v>92510012.299999997</v>
      </c>
    </row>
    <row r="96" spans="1:17">
      <c r="A96" t="s">
        <v>101</v>
      </c>
      <c r="B96" s="43">
        <f t="shared" ref="B96:Q96" si="24">B95/B26</f>
        <v>0.16828086098527198</v>
      </c>
      <c r="C96" s="43">
        <f t="shared" si="24"/>
        <v>0.14083063981042654</v>
      </c>
      <c r="D96" s="43">
        <f t="shared" si="24"/>
        <v>7.161689830741709E-2</v>
      </c>
      <c r="E96" s="43">
        <f t="shared" si="24"/>
        <v>-4.9067796610169488E-2</v>
      </c>
      <c r="F96" s="43">
        <f t="shared" si="24"/>
        <v>9.5151062814070375E-2</v>
      </c>
      <c r="G96" s="43">
        <f t="shared" si="24"/>
        <v>0.21210855949895616</v>
      </c>
      <c r="H96" s="43">
        <f t="shared" si="24"/>
        <v>0.12469733656174334</v>
      </c>
      <c r="I96" s="44">
        <f t="shared" si="24"/>
        <v>0.16900647948164146</v>
      </c>
      <c r="J96" s="43">
        <f t="shared" si="24"/>
        <v>0.1732181425485961</v>
      </c>
      <c r="K96" s="43">
        <f t="shared" si="24"/>
        <v>0.1838939857288481</v>
      </c>
      <c r="L96" s="44">
        <f t="shared" si="24"/>
        <v>0.20488758553274683</v>
      </c>
      <c r="M96" s="43">
        <f t="shared" si="24"/>
        <v>0.17884084636614536</v>
      </c>
      <c r="N96" s="43">
        <f t="shared" si="24"/>
        <v>0.17958257713248638</v>
      </c>
      <c r="O96" s="43">
        <f t="shared" si="24"/>
        <v>0.18351158645276291</v>
      </c>
      <c r="P96" s="43">
        <f t="shared" si="24"/>
        <v>0.17958257713248638</v>
      </c>
      <c r="Q96" s="43">
        <f t="shared" si="24"/>
        <v>0.16268357038600192</v>
      </c>
    </row>
    <row r="97" spans="1:17" hidden="1">
      <c r="A97" s="39" t="s">
        <v>103</v>
      </c>
      <c r="B97" s="40">
        <f>B23-B38-B51-B59-B66-B70-B74-B84</f>
        <v>-64562</v>
      </c>
      <c r="C97" s="40">
        <f>C23-C38-C51-C59-C66-C70-C68-C84</f>
        <v>-3896947</v>
      </c>
      <c r="D97" s="40">
        <f t="shared" ref="D97:J97" si="25">D23-D38-D51-D59-D66-D70-D74-D84</f>
        <v>-4802800</v>
      </c>
      <c r="E97" s="40">
        <f t="shared" si="25"/>
        <v>-6057000</v>
      </c>
      <c r="F97" s="40">
        <f t="shared" si="25"/>
        <v>1371922.3000000007</v>
      </c>
      <c r="G97" s="40">
        <f t="shared" si="25"/>
        <v>7790000</v>
      </c>
      <c r="H97" s="40">
        <f t="shared" si="25"/>
        <v>2750000</v>
      </c>
      <c r="I97" s="45">
        <f t="shared" si="25"/>
        <v>5625000</v>
      </c>
      <c r="J97" s="40">
        <f t="shared" si="25"/>
        <v>5620000</v>
      </c>
      <c r="K97" s="40" t="e">
        <f>K23-K38-K51-K59-K66-K69-K74-K84</f>
        <v>#VALUE!</v>
      </c>
      <c r="L97" s="45">
        <f>L23-L38-L51-L59-L66-L70-L74-L84</f>
        <v>8830000</v>
      </c>
      <c r="M97" s="40">
        <f>M23-M38-M51-M59-M66-M70-M74-M84</f>
        <v>8070000</v>
      </c>
      <c r="N97" s="40">
        <f>N23-N38-N51-N59-N66-N70-N74-N84</f>
        <v>8495000</v>
      </c>
      <c r="O97" s="40">
        <f>O23-O38-O51-O59-O66-O70-O74-O84</f>
        <v>8895000</v>
      </c>
      <c r="P97" s="40">
        <f>P23-P38-P51-P59-P66-P70-P74-P84</f>
        <v>495000</v>
      </c>
      <c r="Q97" s="42" t="e">
        <f>SUM(E97:P97)</f>
        <v>#VALUE!</v>
      </c>
    </row>
    <row r="98" spans="1:17" ht="19" hidden="1" customHeight="1">
      <c r="A98" t="s">
        <v>101</v>
      </c>
      <c r="B98" s="43">
        <f t="shared" ref="B98:Q98" si="26">B97/B23</f>
        <v>-1.5620666101088321E-3</v>
      </c>
      <c r="C98" s="43">
        <f t="shared" si="26"/>
        <v>-0.10069630490956072</v>
      </c>
      <c r="D98" s="43">
        <f t="shared" si="26"/>
        <v>-0.14379640718562875</v>
      </c>
      <c r="E98" s="43">
        <f t="shared" si="26"/>
        <v>-0.18694444444444444</v>
      </c>
      <c r="F98" s="43">
        <f t="shared" si="26"/>
        <v>3.7586912328767146E-2</v>
      </c>
      <c r="G98" s="43">
        <f t="shared" si="26"/>
        <v>0.16971677559912854</v>
      </c>
      <c r="H98" s="43">
        <f t="shared" si="26"/>
        <v>6.9974554707379136E-2</v>
      </c>
      <c r="I98" s="44">
        <f t="shared" si="26"/>
        <v>0.12640449438202248</v>
      </c>
      <c r="J98" s="43">
        <f t="shared" si="26"/>
        <v>0.12629213483146068</v>
      </c>
      <c r="K98" s="43" t="e">
        <f t="shared" si="26"/>
        <v>#VALUE!</v>
      </c>
      <c r="L98" s="44">
        <f t="shared" si="26"/>
        <v>0.17802419354838708</v>
      </c>
      <c r="M98" s="43">
        <f t="shared" si="26"/>
        <v>0.15284090909090908</v>
      </c>
      <c r="N98" s="43">
        <f t="shared" si="26"/>
        <v>0.15789962825278811</v>
      </c>
      <c r="O98" s="43">
        <f t="shared" si="26"/>
        <v>0.16231751824817517</v>
      </c>
      <c r="P98" s="43">
        <f t="shared" si="26"/>
        <v>9.2007434944237926E-3</v>
      </c>
      <c r="Q98" s="43" t="e">
        <f t="shared" si="26"/>
        <v>#VALUE!</v>
      </c>
    </row>
    <row r="99" spans="1:17" ht="19" hidden="1" customHeight="1">
      <c r="A99" s="39" t="s">
        <v>104</v>
      </c>
      <c r="B99" s="40">
        <f t="shared" ref="B99:J99" si="27">B23-B38-B51-B59-B66-B70</f>
        <v>4631859</v>
      </c>
      <c r="C99" s="40">
        <f t="shared" si="27"/>
        <v>1873053</v>
      </c>
      <c r="D99" s="40">
        <f t="shared" si="27"/>
        <v>-3332800</v>
      </c>
      <c r="E99" s="40">
        <f t="shared" si="27"/>
        <v>-4737000</v>
      </c>
      <c r="F99" s="40">
        <f t="shared" si="27"/>
        <v>3691922.3000000007</v>
      </c>
      <c r="G99" s="40">
        <f t="shared" si="27"/>
        <v>9410000</v>
      </c>
      <c r="H99" s="40">
        <f t="shared" si="27"/>
        <v>4400000</v>
      </c>
      <c r="I99" s="45">
        <f t="shared" si="27"/>
        <v>7275000</v>
      </c>
      <c r="J99" s="40">
        <f t="shared" si="27"/>
        <v>7470000</v>
      </c>
      <c r="K99" s="40">
        <f>K23-K38-K51-K59-K66-K69</f>
        <v>2970000</v>
      </c>
      <c r="L99" s="45">
        <f>L23-L38-L51-L59-L66-L70</f>
        <v>10680000</v>
      </c>
      <c r="M99" s="40">
        <f>M23-M38-M51-M59-M66-M70</f>
        <v>9920000</v>
      </c>
      <c r="N99" s="40">
        <f>N23-N38-N51-N59-N66-N70</f>
        <v>10345000</v>
      </c>
      <c r="O99" s="40">
        <f>O23-O38-O51-O59-O66-O70</f>
        <v>10745000</v>
      </c>
      <c r="P99" s="40">
        <f>P23-P38-P51-P59-P66-P70</f>
        <v>2345000</v>
      </c>
      <c r="Q99" s="42">
        <f>SUM(E99:P99)</f>
        <v>74514922.299999997</v>
      </c>
    </row>
    <row r="100" spans="1:17" ht="19" hidden="1" customHeight="1">
      <c r="A100" t="s">
        <v>101</v>
      </c>
      <c r="B100" s="43">
        <f t="shared" ref="B100:Q100" si="28">B99/B23</f>
        <v>0.11206704077680502</v>
      </c>
      <c r="C100" s="43">
        <f t="shared" si="28"/>
        <v>4.8399302325581393E-2</v>
      </c>
      <c r="D100" s="43">
        <f t="shared" si="28"/>
        <v>-9.9784431137724547E-2</v>
      </c>
      <c r="E100" s="43">
        <f t="shared" si="28"/>
        <v>-0.1462037037037037</v>
      </c>
      <c r="F100" s="43">
        <f t="shared" si="28"/>
        <v>0.10114855616438358</v>
      </c>
      <c r="G100" s="43">
        <f t="shared" si="28"/>
        <v>0.20501089324618738</v>
      </c>
      <c r="H100" s="43">
        <f t="shared" si="28"/>
        <v>0.11195928753180662</v>
      </c>
      <c r="I100" s="44">
        <f t="shared" si="28"/>
        <v>0.16348314606741574</v>
      </c>
      <c r="J100" s="43">
        <f t="shared" si="28"/>
        <v>0.16786516853932584</v>
      </c>
      <c r="K100" s="43">
        <f t="shared" si="28"/>
        <v>6.252631578947368E-2</v>
      </c>
      <c r="L100" s="44">
        <f t="shared" si="28"/>
        <v>0.2153225806451613</v>
      </c>
      <c r="M100" s="43">
        <f t="shared" si="28"/>
        <v>0.18787878787878787</v>
      </c>
      <c r="N100" s="43">
        <f t="shared" si="28"/>
        <v>0.19228624535315986</v>
      </c>
      <c r="O100" s="43">
        <f t="shared" si="28"/>
        <v>0.19607664233576641</v>
      </c>
      <c r="P100" s="43">
        <f t="shared" si="28"/>
        <v>4.3587360594795538E-2</v>
      </c>
      <c r="Q100" s="43">
        <f t="shared" si="28"/>
        <v>0.13513769006166121</v>
      </c>
    </row>
    <row r="101" spans="1:17" s="5" customFormat="1" ht="19" customHeight="1">
      <c r="A101" s="46" t="s">
        <v>105</v>
      </c>
      <c r="D101" s="5">
        <v>5000000</v>
      </c>
      <c r="E101" s="5">
        <v>6000000</v>
      </c>
      <c r="F101" s="5">
        <v>5000000</v>
      </c>
      <c r="G101" s="5">
        <v>5000000</v>
      </c>
      <c r="I101" s="7"/>
      <c r="J101" s="5">
        <v>5000000</v>
      </c>
      <c r="L101" s="7"/>
      <c r="M101" s="5">
        <v>5000000</v>
      </c>
      <c r="P101" s="5">
        <v>5000000</v>
      </c>
    </row>
    <row r="102" spans="1:17" ht="19" customHeight="1">
      <c r="A102" t="s">
        <v>106</v>
      </c>
      <c r="B102" s="43"/>
      <c r="C102" s="43"/>
      <c r="D102" s="43"/>
      <c r="E102" s="5">
        <f>E93-E101</f>
        <v>-11057000</v>
      </c>
      <c r="F102" s="5">
        <f>F93-F101</f>
        <v>-4228077.6999999993</v>
      </c>
      <c r="G102" s="5">
        <f>G93-G101</f>
        <v>2790000</v>
      </c>
      <c r="H102" s="43"/>
      <c r="I102" s="44"/>
      <c r="J102" s="5">
        <f>J93-J101</f>
        <v>420000</v>
      </c>
      <c r="K102" s="43"/>
      <c r="L102" s="44"/>
      <c r="M102" s="5">
        <f>M93-M101</f>
        <v>2120000</v>
      </c>
      <c r="N102" s="5"/>
      <c r="O102" s="5"/>
      <c r="P102" s="5">
        <f>P93-P101</f>
        <v>-5705000</v>
      </c>
    </row>
    <row r="103" spans="1:17" ht="19" customHeight="1">
      <c r="A103" t="s">
        <v>107</v>
      </c>
      <c r="B103" s="43"/>
      <c r="C103" s="43"/>
      <c r="D103" s="43"/>
      <c r="E103" s="43"/>
      <c r="F103" s="43"/>
      <c r="G103" s="43"/>
      <c r="H103" s="43"/>
      <c r="I103" s="44"/>
      <c r="J103" s="43"/>
      <c r="K103" s="43"/>
      <c r="L103" s="44"/>
      <c r="M103" s="5"/>
      <c r="N103" s="5"/>
      <c r="O103" s="5"/>
      <c r="P103" s="5"/>
    </row>
    <row r="104" spans="1:17" ht="19" customHeight="1">
      <c r="A104" t="s">
        <v>108</v>
      </c>
      <c r="B104" s="43"/>
      <c r="C104" s="5"/>
      <c r="D104" s="5">
        <f t="shared" ref="D104:P104" si="29">D5-(D5)*0.25-D53-D56</f>
        <v>4550000</v>
      </c>
      <c r="E104" s="5">
        <f t="shared" si="29"/>
        <v>-700000</v>
      </c>
      <c r="F104" s="5">
        <f t="shared" si="29"/>
        <v>6560000</v>
      </c>
      <c r="G104" s="5">
        <f t="shared" si="29"/>
        <v>3400000</v>
      </c>
      <c r="H104" s="5">
        <f t="shared" si="29"/>
        <v>3850000</v>
      </c>
      <c r="I104" s="7">
        <f t="shared" si="29"/>
        <v>5350000</v>
      </c>
      <c r="J104" s="5">
        <f t="shared" si="29"/>
        <v>4270000</v>
      </c>
      <c r="K104" s="5">
        <f t="shared" si="29"/>
        <v>5020000</v>
      </c>
      <c r="L104" s="7">
        <f t="shared" si="29"/>
        <v>7480000</v>
      </c>
      <c r="M104" s="5">
        <f t="shared" si="29"/>
        <v>5320000</v>
      </c>
      <c r="N104" s="5">
        <f t="shared" si="29"/>
        <v>5320000</v>
      </c>
      <c r="O104" s="5">
        <f t="shared" si="29"/>
        <v>5320000</v>
      </c>
      <c r="P104" s="5">
        <f t="shared" si="29"/>
        <v>5320000</v>
      </c>
    </row>
    <row r="105" spans="1:17" ht="19" customHeight="1">
      <c r="B105" s="43"/>
      <c r="C105" s="5"/>
      <c r="D105" s="43">
        <f t="shared" ref="D105:P105" si="30">D104/D5</f>
        <v>0.30333333333333334</v>
      </c>
      <c r="E105" s="43">
        <f t="shared" si="30"/>
        <v>-8.7499999999999994E-2</v>
      </c>
      <c r="F105" s="43">
        <f t="shared" si="30"/>
        <v>0.43733333333333335</v>
      </c>
      <c r="G105" s="43">
        <f t="shared" si="30"/>
        <v>0.22666666666666666</v>
      </c>
      <c r="H105" s="43">
        <f t="shared" si="30"/>
        <v>0.25666666666666665</v>
      </c>
      <c r="I105" s="44">
        <f t="shared" si="30"/>
        <v>0.31470588235294117</v>
      </c>
      <c r="J105" s="43">
        <f t="shared" si="30"/>
        <v>0.25117647058823528</v>
      </c>
      <c r="K105" s="43">
        <f t="shared" si="30"/>
        <v>0.27888888888888891</v>
      </c>
      <c r="L105" s="44">
        <f t="shared" si="30"/>
        <v>0.34</v>
      </c>
      <c r="M105" s="43">
        <f t="shared" si="30"/>
        <v>0.24181818181818182</v>
      </c>
      <c r="N105" s="43">
        <f t="shared" si="30"/>
        <v>0.24181818181818182</v>
      </c>
      <c r="O105" s="43">
        <f t="shared" si="30"/>
        <v>0.24181818181818182</v>
      </c>
      <c r="P105" s="43">
        <f t="shared" si="30"/>
        <v>0.24181818181818182</v>
      </c>
    </row>
    <row r="106" spans="1:17" ht="19" customHeight="1">
      <c r="A106" t="s">
        <v>109</v>
      </c>
      <c r="B106" s="43"/>
      <c r="C106" s="5"/>
      <c r="D106" s="5">
        <f t="shared" ref="D106:P106" si="31">D7-(D7)*0.65</f>
        <v>3150000</v>
      </c>
      <c r="E106" s="5">
        <f t="shared" si="31"/>
        <v>3850000</v>
      </c>
      <c r="F106" s="5">
        <f t="shared" si="31"/>
        <v>3850000</v>
      </c>
      <c r="G106" s="5">
        <f t="shared" si="31"/>
        <v>4200000</v>
      </c>
      <c r="H106" s="5">
        <f t="shared" si="31"/>
        <v>4200000</v>
      </c>
      <c r="I106" s="7">
        <f t="shared" si="31"/>
        <v>4900000</v>
      </c>
      <c r="J106" s="5">
        <f t="shared" si="31"/>
        <v>5250000</v>
      </c>
      <c r="K106" s="5">
        <f t="shared" si="31"/>
        <v>5250000</v>
      </c>
      <c r="L106" s="7">
        <f t="shared" si="31"/>
        <v>5250000</v>
      </c>
      <c r="M106" s="5">
        <f t="shared" si="31"/>
        <v>5775000</v>
      </c>
      <c r="N106" s="5">
        <f t="shared" si="31"/>
        <v>6300000</v>
      </c>
      <c r="O106" s="5">
        <f t="shared" si="31"/>
        <v>6300000</v>
      </c>
      <c r="P106" s="5">
        <f t="shared" si="31"/>
        <v>6300000</v>
      </c>
    </row>
    <row r="107" spans="1:17" ht="19" customHeight="1">
      <c r="B107" s="43"/>
      <c r="C107" s="5"/>
      <c r="D107" s="43">
        <f t="shared" ref="D107:P107" si="32">D106/D7</f>
        <v>0.35</v>
      </c>
      <c r="E107" s="43">
        <f t="shared" si="32"/>
        <v>0.35</v>
      </c>
      <c r="F107" s="43">
        <f t="shared" si="32"/>
        <v>0.35</v>
      </c>
      <c r="G107" s="43">
        <f t="shared" si="32"/>
        <v>0.35</v>
      </c>
      <c r="H107" s="43">
        <f t="shared" si="32"/>
        <v>0.35</v>
      </c>
      <c r="I107" s="44">
        <f t="shared" si="32"/>
        <v>0.35</v>
      </c>
      <c r="J107" s="43">
        <f t="shared" si="32"/>
        <v>0.35</v>
      </c>
      <c r="K107" s="43">
        <f t="shared" si="32"/>
        <v>0.35</v>
      </c>
      <c r="L107" s="44">
        <f t="shared" si="32"/>
        <v>0.35</v>
      </c>
      <c r="M107" s="43">
        <f t="shared" si="32"/>
        <v>0.35</v>
      </c>
      <c r="N107" s="43">
        <f t="shared" si="32"/>
        <v>0.35</v>
      </c>
      <c r="O107" s="43">
        <f t="shared" si="32"/>
        <v>0.35</v>
      </c>
      <c r="P107" s="43">
        <f t="shared" si="32"/>
        <v>0.35</v>
      </c>
    </row>
    <row r="108" spans="1:17" ht="19" customHeight="1">
      <c r="A108" t="s">
        <v>110</v>
      </c>
      <c r="B108" s="43"/>
      <c r="C108" s="5"/>
      <c r="D108" s="5">
        <f>D9-(D9)*0.3-(D9)*0.35-800000</f>
        <v>1650000</v>
      </c>
      <c r="E108" s="5">
        <f>E9-(E9)*0.3-(E9)*0.35-800000</f>
        <v>3050000.0000000005</v>
      </c>
      <c r="F108" s="5">
        <f>F9-(F9)*0.3-(F9)*0.35-800000</f>
        <v>2000000</v>
      </c>
      <c r="G108" s="5">
        <f>G9-(G9)*0.3-(G9)*0.35-800000</f>
        <v>3225000.0000000005</v>
      </c>
      <c r="H108" s="5">
        <f>H9-(H9)*0.3-(H9)*0.35-800000</f>
        <v>2350000</v>
      </c>
      <c r="I108" s="7">
        <f>I9-(I9)*0.35-(I9)*0.35</f>
        <v>3150000.0000000005</v>
      </c>
      <c r="J108" s="12">
        <f t="shared" ref="J108:P108" si="33">J9-(J9)*0.35-(J9)*0.35</f>
        <v>2700000</v>
      </c>
      <c r="K108" s="12">
        <f t="shared" si="33"/>
        <v>3150000.0000000005</v>
      </c>
      <c r="L108" s="7">
        <f t="shared" si="33"/>
        <v>2700000</v>
      </c>
      <c r="M108" s="12">
        <f t="shared" si="33"/>
        <v>3150000.0000000005</v>
      </c>
      <c r="N108" s="12">
        <f t="shared" si="33"/>
        <v>2700000</v>
      </c>
      <c r="O108" s="12">
        <f t="shared" si="33"/>
        <v>3000000</v>
      </c>
      <c r="P108" s="12">
        <f t="shared" si="33"/>
        <v>2700000</v>
      </c>
    </row>
    <row r="109" spans="1:17" ht="19" customHeight="1">
      <c r="B109" s="43"/>
      <c r="C109" s="5"/>
      <c r="D109" s="43">
        <f t="shared" ref="D109:P109" si="34">D108/D9</f>
        <v>0.23571428571428571</v>
      </c>
      <c r="E109" s="43">
        <f t="shared" si="34"/>
        <v>0.27727272727272734</v>
      </c>
      <c r="F109" s="43">
        <f t="shared" si="34"/>
        <v>0.25</v>
      </c>
      <c r="G109" s="43">
        <f t="shared" si="34"/>
        <v>0.2804347826086957</v>
      </c>
      <c r="H109" s="43">
        <f t="shared" si="34"/>
        <v>0.26111111111111113</v>
      </c>
      <c r="I109" s="44">
        <f t="shared" si="34"/>
        <v>0.30000000000000004</v>
      </c>
      <c r="J109" s="43">
        <f t="shared" si="34"/>
        <v>0.3</v>
      </c>
      <c r="K109" s="43">
        <f t="shared" si="34"/>
        <v>0.30000000000000004</v>
      </c>
      <c r="L109" s="44">
        <f t="shared" si="34"/>
        <v>0.3</v>
      </c>
      <c r="M109" s="43">
        <f t="shared" si="34"/>
        <v>0.30000000000000004</v>
      </c>
      <c r="N109" s="43">
        <f t="shared" si="34"/>
        <v>0.3</v>
      </c>
      <c r="O109" s="43">
        <f t="shared" si="34"/>
        <v>0.3</v>
      </c>
      <c r="P109" s="43">
        <f t="shared" si="34"/>
        <v>0.3</v>
      </c>
    </row>
    <row r="110" spans="1:17" ht="19" customHeight="1">
      <c r="A110" t="s">
        <v>111</v>
      </c>
      <c r="B110" s="43"/>
      <c r="C110" s="5"/>
      <c r="D110" s="5">
        <f>D11-(D11)*0.35-(D11)*0.5</f>
        <v>0</v>
      </c>
      <c r="E110" s="5">
        <f>F11-(F11)*0.35-(F11)*0.6</f>
        <v>5000</v>
      </c>
      <c r="F110" s="5">
        <f>G11-(G11)*0.35-(G11)*0.6</f>
        <v>10000</v>
      </c>
      <c r="G110" s="5">
        <f>H11-(H11)*0.35-(H11)*0.6</f>
        <v>0</v>
      </c>
      <c r="H110" s="5">
        <f>I11-(I11)*0.35-(I11)*0.6</f>
        <v>0</v>
      </c>
      <c r="I110" s="7">
        <f>J11-(J11)*0.35-(J11)*0.6-100000</f>
        <v>-100000</v>
      </c>
      <c r="J110" s="5">
        <f t="shared" ref="J110" si="35">K11-(K11)*0.35-(K11)*0.6</f>
        <v>0</v>
      </c>
      <c r="K110" s="5">
        <f>L11-(L11)*0.35-(L11)*0.55</f>
        <v>0</v>
      </c>
      <c r="L110" s="7">
        <f t="shared" ref="L110:O110" si="36">M11-(M11)*0.35-(M11)*0.55</f>
        <v>0</v>
      </c>
      <c r="M110" s="5">
        <f t="shared" si="36"/>
        <v>0</v>
      </c>
      <c r="N110" s="5">
        <f t="shared" si="36"/>
        <v>0</v>
      </c>
      <c r="O110" s="5">
        <f t="shared" si="36"/>
        <v>0</v>
      </c>
      <c r="P110" s="5" t="e">
        <f>#REF!-(#REF!)*0.35-(#REF!)*0.6</f>
        <v>#REF!</v>
      </c>
    </row>
    <row r="111" spans="1:17" ht="19" customHeight="1">
      <c r="B111" s="43"/>
      <c r="C111" s="5"/>
      <c r="D111" s="43" t="e">
        <f>D110/D11</f>
        <v>#DIV/0!</v>
      </c>
      <c r="E111" s="43">
        <f t="shared" ref="E111:O111" si="37">E110/F11</f>
        <v>0.05</v>
      </c>
      <c r="F111" s="43">
        <f t="shared" si="37"/>
        <v>0.05</v>
      </c>
      <c r="G111" s="43" t="e">
        <f t="shared" si="37"/>
        <v>#DIV/0!</v>
      </c>
      <c r="H111" s="43" t="e">
        <f t="shared" si="37"/>
        <v>#DIV/0!</v>
      </c>
      <c r="I111" s="44" t="e">
        <f t="shared" si="37"/>
        <v>#DIV/0!</v>
      </c>
      <c r="J111" s="43" t="e">
        <f t="shared" si="37"/>
        <v>#DIV/0!</v>
      </c>
      <c r="K111" s="43" t="e">
        <f t="shared" si="37"/>
        <v>#DIV/0!</v>
      </c>
      <c r="L111" s="44" t="e">
        <f t="shared" si="37"/>
        <v>#DIV/0!</v>
      </c>
      <c r="M111" s="43" t="e">
        <f t="shared" si="37"/>
        <v>#DIV/0!</v>
      </c>
      <c r="N111" s="43" t="e">
        <f t="shared" si="37"/>
        <v>#DIV/0!</v>
      </c>
      <c r="O111" s="43" t="e">
        <f t="shared" si="37"/>
        <v>#DIV/0!</v>
      </c>
      <c r="P111" s="43" t="e">
        <f>P110/#REF!</f>
        <v>#REF!</v>
      </c>
    </row>
    <row r="112" spans="1:17" ht="19" customHeight="1">
      <c r="A112" t="s">
        <v>112</v>
      </c>
      <c r="B112" s="43"/>
      <c r="C112" s="5"/>
      <c r="D112" s="5">
        <f t="shared" ref="D112:P112" si="38">D13-(D13)*0.35-(D13)*0.35</f>
        <v>0</v>
      </c>
      <c r="E112" s="5">
        <f t="shared" si="38"/>
        <v>300000</v>
      </c>
      <c r="F112" s="5">
        <f t="shared" si="38"/>
        <v>300000</v>
      </c>
      <c r="G112" s="5">
        <f t="shared" si="38"/>
        <v>450000</v>
      </c>
      <c r="H112" s="5">
        <f t="shared" si="38"/>
        <v>600000</v>
      </c>
      <c r="I112" s="7">
        <f t="shared" si="38"/>
        <v>600000</v>
      </c>
      <c r="J112" s="12">
        <f t="shared" si="38"/>
        <v>600000</v>
      </c>
      <c r="K112" s="12">
        <f t="shared" si="38"/>
        <v>600000</v>
      </c>
      <c r="L112" s="7">
        <f t="shared" si="38"/>
        <v>600000</v>
      </c>
      <c r="M112" s="12">
        <f t="shared" si="38"/>
        <v>600000</v>
      </c>
      <c r="N112" s="12">
        <f t="shared" si="38"/>
        <v>750000</v>
      </c>
      <c r="O112" s="12">
        <f t="shared" si="38"/>
        <v>750000</v>
      </c>
      <c r="P112" s="5">
        <f t="shared" si="38"/>
        <v>750000</v>
      </c>
    </row>
    <row r="113" spans="1:16" ht="19" customHeight="1">
      <c r="B113" s="43"/>
      <c r="C113" s="5"/>
      <c r="D113" s="43" t="e">
        <f t="shared" ref="D113:P113" si="39">D112/D13</f>
        <v>#DIV/0!</v>
      </c>
      <c r="E113" s="43">
        <f t="shared" si="39"/>
        <v>0.3</v>
      </c>
      <c r="F113" s="43">
        <f t="shared" si="39"/>
        <v>0.3</v>
      </c>
      <c r="G113" s="43">
        <f t="shared" si="39"/>
        <v>0.3</v>
      </c>
      <c r="H113" s="43">
        <f t="shared" si="39"/>
        <v>0.3</v>
      </c>
      <c r="I113" s="44">
        <f t="shared" si="39"/>
        <v>0.3</v>
      </c>
      <c r="J113" s="43">
        <f t="shared" si="39"/>
        <v>0.3</v>
      </c>
      <c r="K113" s="43">
        <f t="shared" si="39"/>
        <v>0.3</v>
      </c>
      <c r="L113" s="44">
        <f t="shared" si="39"/>
        <v>0.3</v>
      </c>
      <c r="M113" s="43">
        <f t="shared" si="39"/>
        <v>0.3</v>
      </c>
      <c r="N113" s="43">
        <f t="shared" si="39"/>
        <v>0.3</v>
      </c>
      <c r="O113" s="43">
        <f t="shared" si="39"/>
        <v>0.3</v>
      </c>
      <c r="P113" s="43">
        <f t="shared" si="39"/>
        <v>0.3</v>
      </c>
    </row>
    <row r="114" spans="1:16" ht="19" customHeight="1">
      <c r="A114" t="s">
        <v>113</v>
      </c>
      <c r="B114" s="43"/>
      <c r="C114" s="5"/>
      <c r="D114" s="5">
        <f t="shared" ref="D114:P114" si="40">D16-(D16)*0.4</f>
        <v>240000</v>
      </c>
      <c r="E114" s="5">
        <f t="shared" si="40"/>
        <v>240000</v>
      </c>
      <c r="F114" s="5">
        <f t="shared" si="40"/>
        <v>240000</v>
      </c>
      <c r="G114" s="5">
        <f t="shared" si="40"/>
        <v>600000</v>
      </c>
      <c r="H114" s="5">
        <f t="shared" si="40"/>
        <v>600000</v>
      </c>
      <c r="I114" s="7">
        <f t="shared" si="40"/>
        <v>600000</v>
      </c>
      <c r="J114" s="5">
        <f t="shared" si="40"/>
        <v>600000</v>
      </c>
      <c r="K114" s="5">
        <f t="shared" si="40"/>
        <v>600000</v>
      </c>
      <c r="L114" s="7">
        <f t="shared" si="40"/>
        <v>360000</v>
      </c>
      <c r="M114" s="5">
        <f t="shared" si="40"/>
        <v>480000</v>
      </c>
      <c r="N114" s="5">
        <f t="shared" si="40"/>
        <v>480000</v>
      </c>
      <c r="O114" s="5">
        <f t="shared" si="40"/>
        <v>480000</v>
      </c>
      <c r="P114" s="5">
        <f t="shared" si="40"/>
        <v>480000</v>
      </c>
    </row>
    <row r="115" spans="1:16" ht="19" customHeight="1">
      <c r="B115" s="43"/>
      <c r="C115" s="5"/>
      <c r="D115" s="43">
        <f t="shared" ref="D115:P115" si="41">D114/D16</f>
        <v>0.6</v>
      </c>
      <c r="E115" s="43">
        <f t="shared" si="41"/>
        <v>0.6</v>
      </c>
      <c r="F115" s="43">
        <f t="shared" si="41"/>
        <v>0.6</v>
      </c>
      <c r="G115" s="43">
        <f t="shared" si="41"/>
        <v>0.6</v>
      </c>
      <c r="H115" s="43">
        <f t="shared" si="41"/>
        <v>0.6</v>
      </c>
      <c r="I115" s="44">
        <f t="shared" si="41"/>
        <v>0.6</v>
      </c>
      <c r="J115" s="43">
        <f t="shared" si="41"/>
        <v>0.6</v>
      </c>
      <c r="K115" s="43">
        <f t="shared" si="41"/>
        <v>0.6</v>
      </c>
      <c r="L115" s="44">
        <f t="shared" si="41"/>
        <v>0.6</v>
      </c>
      <c r="M115" s="43">
        <f t="shared" si="41"/>
        <v>0.6</v>
      </c>
      <c r="N115" s="43">
        <f t="shared" si="41"/>
        <v>0.6</v>
      </c>
      <c r="O115" s="43">
        <f t="shared" si="41"/>
        <v>0.6</v>
      </c>
      <c r="P115" s="43">
        <f t="shared" si="41"/>
        <v>0.6</v>
      </c>
    </row>
    <row r="116" spans="1:16" ht="19" customHeight="1">
      <c r="A116" t="s">
        <v>114</v>
      </c>
      <c r="B116" s="5"/>
      <c r="C116" s="5"/>
      <c r="D116" s="5">
        <f>D20-(D20)*0.5</f>
        <v>0</v>
      </c>
      <c r="E116" s="5">
        <f>E20-(E20)*0.5</f>
        <v>0</v>
      </c>
      <c r="F116" s="5">
        <f t="shared" ref="F116:N116" si="42">H20-(H20)*0.5</f>
        <v>0</v>
      </c>
      <c r="G116" s="5">
        <f t="shared" si="42"/>
        <v>0</v>
      </c>
      <c r="H116" s="5">
        <f t="shared" si="42"/>
        <v>0</v>
      </c>
      <c r="I116" s="7">
        <f t="shared" si="42"/>
        <v>0</v>
      </c>
      <c r="J116" s="5">
        <f t="shared" si="42"/>
        <v>0</v>
      </c>
      <c r="K116" s="5">
        <f t="shared" si="42"/>
        <v>0</v>
      </c>
      <c r="L116" s="7">
        <f t="shared" si="42"/>
        <v>0</v>
      </c>
      <c r="M116" s="5">
        <f t="shared" si="42"/>
        <v>0</v>
      </c>
      <c r="N116" s="5">
        <f t="shared" si="42"/>
        <v>0</v>
      </c>
      <c r="O116" s="5" t="e">
        <f>#REF!-(#REF!)*0.5</f>
        <v>#REF!</v>
      </c>
      <c r="P116" s="5" t="e">
        <f>#REF!-(#REF!)*0.5</f>
        <v>#REF!</v>
      </c>
    </row>
    <row r="117" spans="1:16" ht="19" customHeight="1">
      <c r="B117" s="5"/>
      <c r="C117" s="5"/>
      <c r="D117" s="43" t="e">
        <f>D116/D20</f>
        <v>#DIV/0!</v>
      </c>
      <c r="E117" s="43" t="e">
        <f>E116/E20</f>
        <v>#DIV/0!</v>
      </c>
      <c r="F117" s="43" t="e">
        <f t="shared" ref="F117:N117" si="43">F116/H20</f>
        <v>#DIV/0!</v>
      </c>
      <c r="G117" s="43" t="e">
        <f t="shared" si="43"/>
        <v>#DIV/0!</v>
      </c>
      <c r="H117" s="43" t="e">
        <f t="shared" si="43"/>
        <v>#DIV/0!</v>
      </c>
      <c r="I117" s="44" t="e">
        <f t="shared" si="43"/>
        <v>#DIV/0!</v>
      </c>
      <c r="J117" s="43" t="e">
        <f t="shared" si="43"/>
        <v>#DIV/0!</v>
      </c>
      <c r="K117" s="43" t="e">
        <f t="shared" si="43"/>
        <v>#DIV/0!</v>
      </c>
      <c r="L117" s="44" t="e">
        <f t="shared" si="43"/>
        <v>#DIV/0!</v>
      </c>
      <c r="M117" s="43" t="e">
        <f t="shared" si="43"/>
        <v>#DIV/0!</v>
      </c>
      <c r="N117" s="43" t="e">
        <f t="shared" si="43"/>
        <v>#DIV/0!</v>
      </c>
      <c r="O117" s="43" t="e">
        <f>O116/#REF!</f>
        <v>#REF!</v>
      </c>
      <c r="P117" s="43" t="e">
        <f>P116/#REF!</f>
        <v>#REF!</v>
      </c>
    </row>
    <row r="118" spans="1:16" ht="19" customHeight="1">
      <c r="A118" t="s">
        <v>115</v>
      </c>
      <c r="B118" s="5"/>
      <c r="C118" s="5"/>
      <c r="D118" s="5"/>
      <c r="E118" s="5"/>
      <c r="F118" s="5"/>
      <c r="G118" s="5"/>
      <c r="H118" s="5"/>
      <c r="I118" s="7"/>
      <c r="J118" s="5"/>
      <c r="K118" s="5"/>
      <c r="L118" s="7"/>
      <c r="M118" s="5"/>
      <c r="N118" s="5"/>
      <c r="O118" s="5"/>
      <c r="P118" s="5"/>
    </row>
    <row r="119" spans="1:16" ht="19" customHeight="1">
      <c r="A119" t="s">
        <v>116</v>
      </c>
      <c r="B119" s="5"/>
      <c r="C119" s="5"/>
      <c r="D119" s="5"/>
      <c r="E119" s="5"/>
      <c r="F119" s="5"/>
      <c r="G119" s="5"/>
      <c r="H119" s="5"/>
      <c r="I119" s="7"/>
      <c r="J119" s="5"/>
      <c r="K119" s="5"/>
      <c r="L119" s="7"/>
      <c r="M119" s="5"/>
      <c r="N119" s="5"/>
      <c r="O119" s="5"/>
      <c r="P119" s="5"/>
    </row>
    <row r="120" spans="1:16" ht="19" customHeight="1">
      <c r="A120" t="s">
        <v>117</v>
      </c>
      <c r="B120" s="5">
        <f>3675699+478080</f>
        <v>4153779</v>
      </c>
      <c r="C120" s="5"/>
      <c r="D120" s="5"/>
      <c r="E120" s="5"/>
      <c r="F120" s="5"/>
      <c r="G120" s="5"/>
      <c r="H120" s="5"/>
      <c r="I120" s="7"/>
      <c r="J120" s="5"/>
      <c r="K120" s="5"/>
      <c r="L120" s="7"/>
      <c r="M120" s="5"/>
      <c r="N120" s="5"/>
      <c r="O120" s="5"/>
      <c r="P120" s="5"/>
    </row>
    <row r="121" spans="1:16" ht="19" customHeight="1">
      <c r="A121" t="s">
        <v>118</v>
      </c>
      <c r="B121" s="5"/>
      <c r="C121" s="5"/>
      <c r="D121" s="5"/>
      <c r="E121" s="5"/>
      <c r="F121" s="5"/>
      <c r="G121" s="5"/>
      <c r="H121" s="5"/>
      <c r="I121" s="7"/>
      <c r="J121" s="5"/>
      <c r="K121" s="5"/>
      <c r="L121" s="7"/>
      <c r="M121" s="5"/>
      <c r="N121" s="5"/>
      <c r="O121" s="5"/>
      <c r="P121" s="5"/>
    </row>
    <row r="122" spans="1:16" ht="19" customHeight="1">
      <c r="A122" t="s">
        <v>119</v>
      </c>
      <c r="B122" s="5"/>
      <c r="C122" s="5"/>
      <c r="D122" s="5"/>
      <c r="E122" s="5"/>
      <c r="F122" s="5"/>
      <c r="G122" s="5"/>
      <c r="H122" s="5"/>
      <c r="I122" s="7"/>
      <c r="J122" s="5"/>
      <c r="K122" s="5"/>
      <c r="L122" s="7"/>
      <c r="M122" s="5"/>
      <c r="N122" s="5"/>
      <c r="O122" s="5"/>
      <c r="P122" s="5"/>
    </row>
    <row r="123" spans="1:16" ht="19" customHeight="1">
      <c r="A123" t="s">
        <v>120</v>
      </c>
      <c r="B123" s="5">
        <v>4087480</v>
      </c>
      <c r="C123" s="5" t="s">
        <v>121</v>
      </c>
      <c r="D123" s="5"/>
      <c r="E123" s="5"/>
      <c r="F123" s="5"/>
      <c r="G123" s="5"/>
      <c r="H123" s="5"/>
      <c r="I123" s="7"/>
      <c r="J123" s="5"/>
      <c r="K123" s="5"/>
      <c r="L123" s="7"/>
      <c r="M123" s="5"/>
      <c r="N123" s="5"/>
      <c r="O123" s="5"/>
      <c r="P123" s="5"/>
    </row>
    <row r="124" spans="1:16">
      <c r="A124" t="s">
        <v>122</v>
      </c>
      <c r="B124" s="5"/>
      <c r="C124" s="5"/>
      <c r="D124" s="5"/>
      <c r="E124" s="5"/>
      <c r="F124" s="5"/>
      <c r="G124" s="5"/>
      <c r="H124" s="5"/>
      <c r="I124" s="7"/>
      <c r="J124" s="5"/>
      <c r="K124" s="5"/>
      <c r="L124" s="7"/>
      <c r="M124" s="5"/>
      <c r="N124" s="5"/>
      <c r="O124" s="5"/>
      <c r="P124" s="5"/>
    </row>
    <row r="125" spans="1:16">
      <c r="A125" t="s">
        <v>123</v>
      </c>
      <c r="B125" s="5"/>
      <c r="C125" s="5"/>
      <c r="D125" s="5"/>
      <c r="E125" s="5"/>
      <c r="F125" s="5"/>
      <c r="G125" s="5"/>
      <c r="H125" s="5"/>
      <c r="I125" s="7"/>
      <c r="J125" s="5"/>
      <c r="K125" s="5"/>
      <c r="L125" s="7"/>
      <c r="M125" s="5"/>
      <c r="N125" s="5"/>
      <c r="O125" s="5"/>
      <c r="P125" s="5"/>
    </row>
    <row r="126" spans="1:16">
      <c r="B126" s="5"/>
      <c r="C126" s="5"/>
      <c r="D126" s="5"/>
      <c r="E126" s="5"/>
      <c r="F126" s="5"/>
      <c r="G126" s="5"/>
      <c r="H126" s="5"/>
      <c r="I126" s="7"/>
      <c r="J126" s="5"/>
      <c r="K126" s="5"/>
      <c r="L126" s="7"/>
      <c r="M126" s="5"/>
      <c r="N126" s="5"/>
      <c r="O126" s="5"/>
      <c r="P126" s="5"/>
    </row>
    <row r="127" spans="1:16">
      <c r="A127" t="s">
        <v>124</v>
      </c>
      <c r="B127" s="5"/>
      <c r="C127" s="5"/>
      <c r="D127" s="5"/>
      <c r="E127" s="5"/>
      <c r="F127" s="5"/>
      <c r="G127" s="5"/>
      <c r="H127" s="5"/>
      <c r="I127" s="7"/>
      <c r="J127" s="5"/>
      <c r="K127" s="5"/>
      <c r="L127" s="7"/>
      <c r="M127" s="5"/>
      <c r="N127" s="5"/>
      <c r="O127" s="5"/>
      <c r="P127" s="5"/>
    </row>
    <row r="128" spans="1:16">
      <c r="A128" t="s">
        <v>125</v>
      </c>
      <c r="B128" s="5"/>
      <c r="C128" s="5">
        <v>3500000</v>
      </c>
      <c r="D128" s="5"/>
      <c r="E128" s="5"/>
      <c r="F128" s="5"/>
      <c r="G128" s="5"/>
      <c r="H128" s="5"/>
      <c r="I128" s="7"/>
      <c r="J128" s="5"/>
      <c r="K128" s="5"/>
      <c r="L128" s="7"/>
      <c r="M128" s="5"/>
      <c r="N128" s="5"/>
      <c r="O128" s="5"/>
      <c r="P128" s="5"/>
    </row>
    <row r="129" spans="1:16">
      <c r="A129" t="s">
        <v>126</v>
      </c>
      <c r="B129" s="5"/>
      <c r="C129" s="5">
        <v>497376</v>
      </c>
      <c r="D129" s="5"/>
      <c r="E129" s="5"/>
      <c r="F129" s="5"/>
      <c r="G129" s="5"/>
      <c r="H129" s="5"/>
      <c r="I129" s="7"/>
      <c r="J129" s="5"/>
      <c r="K129" s="5"/>
      <c r="L129" s="7"/>
      <c r="M129" s="5"/>
      <c r="N129" s="5"/>
      <c r="O129" s="5"/>
      <c r="P129" s="5"/>
    </row>
    <row r="130" spans="1:16">
      <c r="A130" t="s">
        <v>127</v>
      </c>
      <c r="B130" s="5"/>
      <c r="C130" s="5" t="s">
        <v>41</v>
      </c>
      <c r="D130" s="5"/>
      <c r="E130" s="5">
        <v>3000000</v>
      </c>
      <c r="F130" s="5"/>
      <c r="G130" s="5"/>
      <c r="H130" s="5"/>
      <c r="I130" s="7"/>
      <c r="J130" s="5"/>
      <c r="K130" s="5">
        <v>3500000</v>
      </c>
      <c r="L130" s="7"/>
      <c r="M130" s="5"/>
      <c r="N130" s="5"/>
      <c r="O130" s="5"/>
      <c r="P130" s="5"/>
    </row>
    <row r="131" spans="1:16">
      <c r="A131" t="s">
        <v>128</v>
      </c>
      <c r="B131" s="5"/>
      <c r="C131" s="5"/>
      <c r="D131" s="5"/>
      <c r="E131" s="5"/>
      <c r="F131" s="5"/>
      <c r="G131" s="5"/>
      <c r="H131" s="5"/>
      <c r="I131" s="7"/>
      <c r="J131" s="5"/>
      <c r="K131" s="5"/>
      <c r="L131" s="7"/>
      <c r="M131" s="5"/>
      <c r="N131" s="5"/>
      <c r="O131" s="5"/>
      <c r="P131" s="5"/>
    </row>
    <row r="132" spans="1:16">
      <c r="A132" t="s">
        <v>129</v>
      </c>
      <c r="B132" s="5">
        <v>194429</v>
      </c>
      <c r="C132" s="5"/>
      <c r="D132" s="5"/>
      <c r="E132" s="5"/>
      <c r="F132" s="5"/>
      <c r="G132" s="5"/>
      <c r="H132" s="5"/>
      <c r="I132" s="7"/>
      <c r="J132" s="5"/>
      <c r="K132" s="5"/>
      <c r="L132" s="7"/>
      <c r="M132" s="5"/>
      <c r="N132" s="5"/>
      <c r="O132" s="5"/>
      <c r="P132" s="5"/>
    </row>
    <row r="133" spans="1:16">
      <c r="A133" t="s">
        <v>130</v>
      </c>
      <c r="B133" s="5">
        <v>1000000</v>
      </c>
      <c r="C133" s="5"/>
      <c r="D133" s="5"/>
      <c r="E133" s="5"/>
      <c r="F133" s="5"/>
      <c r="G133" s="5"/>
      <c r="H133" s="5"/>
      <c r="I133" s="7"/>
      <c r="J133" s="5"/>
      <c r="K133" s="5"/>
      <c r="L133" s="7"/>
      <c r="M133" s="5"/>
      <c r="N133" s="5"/>
      <c r="O133" s="5"/>
      <c r="P133" s="5"/>
    </row>
    <row r="134" spans="1:16">
      <c r="A134" t="s">
        <v>131</v>
      </c>
      <c r="B134" s="5">
        <v>65753</v>
      </c>
      <c r="C134" s="5"/>
      <c r="D134" s="5"/>
      <c r="E134" s="5"/>
      <c r="F134" s="5"/>
      <c r="G134" s="5"/>
      <c r="H134" s="5"/>
      <c r="I134" s="7"/>
      <c r="J134" s="5"/>
      <c r="K134" s="5"/>
      <c r="L134" s="7"/>
      <c r="M134" s="5"/>
      <c r="N134" s="5"/>
      <c r="O134" s="5"/>
      <c r="P134" s="5"/>
    </row>
    <row r="135" spans="1:16">
      <c r="A135" t="s">
        <v>132</v>
      </c>
      <c r="B135" s="5"/>
      <c r="C135" s="5"/>
      <c r="D135" s="5"/>
      <c r="E135" s="5"/>
      <c r="F135" s="5"/>
      <c r="G135" s="5"/>
      <c r="H135" s="5"/>
      <c r="I135" s="7"/>
      <c r="J135" s="5"/>
      <c r="K135" s="5"/>
      <c r="L135" s="7"/>
      <c r="M135" s="5"/>
      <c r="N135" s="5"/>
      <c r="O135" s="5"/>
      <c r="P135" s="5"/>
    </row>
    <row r="136" spans="1:16">
      <c r="A136" t="s">
        <v>133</v>
      </c>
      <c r="B136" s="5">
        <v>470000</v>
      </c>
      <c r="C136" s="5"/>
      <c r="D136" s="5"/>
      <c r="E136" s="5"/>
      <c r="F136" s="5"/>
      <c r="G136" s="5"/>
      <c r="H136" s="5"/>
      <c r="I136" s="7"/>
      <c r="J136" s="5"/>
      <c r="K136" s="5"/>
      <c r="L136" s="7"/>
      <c r="M136" s="5"/>
      <c r="N136" s="5"/>
      <c r="O136" s="5"/>
      <c r="P136" s="5"/>
    </row>
    <row r="137" spans="1:16">
      <c r="A137" t="s">
        <v>134</v>
      </c>
      <c r="B137" s="5"/>
      <c r="C137" s="5"/>
      <c r="D137" s="5"/>
      <c r="E137" s="5"/>
      <c r="F137" s="5"/>
      <c r="G137" s="5"/>
      <c r="H137" s="5"/>
      <c r="I137" s="7"/>
      <c r="J137" s="5"/>
      <c r="K137" s="5"/>
      <c r="L137" s="7"/>
      <c r="M137" s="5"/>
      <c r="N137" s="5"/>
      <c r="O137" s="5"/>
      <c r="P137" s="5"/>
    </row>
    <row r="138" spans="1:16">
      <c r="A138" t="s">
        <v>135</v>
      </c>
      <c r="B138" s="5"/>
      <c r="C138" s="5">
        <v>500000</v>
      </c>
      <c r="D138" s="5"/>
      <c r="E138" s="5"/>
      <c r="F138" s="5"/>
      <c r="G138" s="5"/>
      <c r="H138" s="5"/>
      <c r="I138" s="7"/>
      <c r="J138" s="5"/>
      <c r="K138" s="5"/>
      <c r="L138" s="7"/>
      <c r="M138" s="5"/>
      <c r="N138" s="5"/>
      <c r="O138" s="5"/>
      <c r="P138" s="5"/>
    </row>
    <row r="139" spans="1:16">
      <c r="A139" t="s">
        <v>136</v>
      </c>
      <c r="B139" s="5"/>
      <c r="C139" s="5"/>
      <c r="D139" s="5"/>
      <c r="E139" s="5"/>
      <c r="F139" s="5"/>
      <c r="G139" s="5"/>
      <c r="H139" s="5"/>
      <c r="I139" s="7"/>
      <c r="J139" s="5"/>
      <c r="K139" s="5"/>
      <c r="L139" s="7"/>
      <c r="M139" s="5"/>
      <c r="N139" s="5"/>
      <c r="O139" s="5"/>
      <c r="P139" s="5"/>
    </row>
    <row r="140" spans="1:16">
      <c r="A140" t="s">
        <v>137</v>
      </c>
      <c r="C140" s="5"/>
    </row>
  </sheetData>
  <mergeCells count="1">
    <mergeCell ref="B3:G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0AB0-CC75-4B91-A5E5-8130E279E918}">
  <dimension ref="A3:N23"/>
  <sheetViews>
    <sheetView workbookViewId="0">
      <selection activeCell="B13" sqref="B13"/>
    </sheetView>
  </sheetViews>
  <sheetFormatPr defaultRowHeight="18"/>
  <cols>
    <col min="1" max="1" width="28.08203125" customWidth="1"/>
    <col min="4" max="4" width="31.25" customWidth="1"/>
    <col min="7" max="7" width="19.33203125" customWidth="1"/>
    <col min="10" max="10" width="13.9140625" customWidth="1"/>
  </cols>
  <sheetData>
    <row r="3" spans="1:14">
      <c r="A3" t="s">
        <v>138</v>
      </c>
    </row>
    <row r="4" spans="1:14">
      <c r="A4" t="s">
        <v>139</v>
      </c>
      <c r="B4">
        <v>250</v>
      </c>
    </row>
    <row r="5" spans="1:14">
      <c r="A5" t="s">
        <v>53</v>
      </c>
      <c r="B5">
        <v>240</v>
      </c>
    </row>
    <row r="6" spans="1:14">
      <c r="A6" t="s">
        <v>140</v>
      </c>
      <c r="B6">
        <v>50</v>
      </c>
    </row>
    <row r="7" spans="1:14">
      <c r="A7" t="s">
        <v>54</v>
      </c>
      <c r="B7">
        <v>20</v>
      </c>
    </row>
    <row r="8" spans="1:14">
      <c r="A8" t="s">
        <v>141</v>
      </c>
      <c r="B8">
        <v>40</v>
      </c>
    </row>
    <row r="9" spans="1:14">
      <c r="A9" t="s">
        <v>126</v>
      </c>
      <c r="B9">
        <v>60</v>
      </c>
    </row>
    <row r="10" spans="1:14">
      <c r="A10" t="s">
        <v>26</v>
      </c>
      <c r="B10">
        <f>SUM(B4:B9)</f>
        <v>660</v>
      </c>
    </row>
    <row r="12" spans="1:14">
      <c r="A12" t="s">
        <v>142</v>
      </c>
      <c r="D12" t="s">
        <v>143</v>
      </c>
      <c r="G12" t="s">
        <v>144</v>
      </c>
    </row>
    <row r="13" spans="1:14">
      <c r="A13" t="s">
        <v>101</v>
      </c>
      <c r="B13" s="47">
        <v>0.37</v>
      </c>
      <c r="D13" t="s">
        <v>101</v>
      </c>
      <c r="E13" s="47">
        <v>0.3</v>
      </c>
      <c r="G13" t="s">
        <v>101</v>
      </c>
      <c r="H13" s="47">
        <f>H15/H14</f>
        <v>0.28000000000000003</v>
      </c>
      <c r="I13" t="s">
        <v>145</v>
      </c>
      <c r="J13" t="s">
        <v>146</v>
      </c>
      <c r="K13">
        <f>H14*0.3</f>
        <v>450</v>
      </c>
      <c r="L13" t="s">
        <v>147</v>
      </c>
    </row>
    <row r="14" spans="1:14">
      <c r="A14" t="s">
        <v>148</v>
      </c>
      <c r="B14">
        <v>1300</v>
      </c>
      <c r="D14" t="s">
        <v>149</v>
      </c>
      <c r="E14">
        <v>1200</v>
      </c>
      <c r="G14" t="s">
        <v>150</v>
      </c>
      <c r="H14">
        <v>1500</v>
      </c>
      <c r="J14" t="s">
        <v>151</v>
      </c>
      <c r="K14">
        <f>H14*0.42</f>
        <v>630</v>
      </c>
      <c r="L14" s="48" t="s">
        <v>145</v>
      </c>
      <c r="M14" t="s">
        <v>152</v>
      </c>
      <c r="N14">
        <f>K14/15</f>
        <v>42</v>
      </c>
    </row>
    <row r="15" spans="1:14">
      <c r="A15" t="s">
        <v>153</v>
      </c>
      <c r="B15">
        <f>B14*B13</f>
        <v>481</v>
      </c>
      <c r="D15" t="s">
        <v>153</v>
      </c>
      <c r="E15">
        <f>E14*E13</f>
        <v>360</v>
      </c>
      <c r="G15" t="s">
        <v>153</v>
      </c>
      <c r="H15">
        <f>H14-K13-K14</f>
        <v>420</v>
      </c>
    </row>
    <row r="17" spans="4:8">
      <c r="D17" t="s">
        <v>154</v>
      </c>
      <c r="G17" t="s">
        <v>155</v>
      </c>
    </row>
    <row r="18" spans="4:8">
      <c r="D18" t="s">
        <v>156</v>
      </c>
      <c r="E18">
        <f>B15+E15+H15*0.4-B10</f>
        <v>349</v>
      </c>
      <c r="G18" t="s">
        <v>113</v>
      </c>
      <c r="H18">
        <v>100</v>
      </c>
    </row>
    <row r="19" spans="4:8">
      <c r="D19" t="s">
        <v>157</v>
      </c>
      <c r="E19">
        <f>B15+E15+H15*0.85-B10</f>
        <v>538</v>
      </c>
      <c r="G19" t="s">
        <v>158</v>
      </c>
      <c r="H19">
        <v>150</v>
      </c>
    </row>
    <row r="20" spans="4:8">
      <c r="D20" t="s">
        <v>159</v>
      </c>
      <c r="E20">
        <f>B15+E15+H15*1.2-B10</f>
        <v>685</v>
      </c>
    </row>
    <row r="22" spans="4:8">
      <c r="D22" t="s">
        <v>1</v>
      </c>
    </row>
    <row r="23" spans="4:8">
      <c r="D23">
        <f>E19*10</f>
        <v>5380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D406-4501-40D9-9742-2F8F9B1D83B9}">
  <dimension ref="A2:F19"/>
  <sheetViews>
    <sheetView tabSelected="1" workbookViewId="0">
      <selection activeCell="F14" sqref="F14"/>
    </sheetView>
  </sheetViews>
  <sheetFormatPr defaultRowHeight="18"/>
  <cols>
    <col min="2" max="2" width="10.1640625" bestFit="1" customWidth="1"/>
    <col min="3" max="3" width="29" customWidth="1"/>
    <col min="4" max="4" width="18.5" style="5" customWidth="1"/>
    <col min="5" max="5" width="16.33203125" customWidth="1"/>
    <col min="6" max="6" width="23.5" customWidth="1"/>
    <col min="7" max="7" width="26.75" customWidth="1"/>
  </cols>
  <sheetData>
    <row r="2" spans="1:6">
      <c r="A2" t="s">
        <v>160</v>
      </c>
    </row>
    <row r="4" spans="1:6">
      <c r="A4" t="s">
        <v>168</v>
      </c>
    </row>
    <row r="6" spans="1:6">
      <c r="A6" t="s">
        <v>148</v>
      </c>
      <c r="D6" s="5">
        <v>12000000</v>
      </c>
      <c r="E6" t="s">
        <v>161</v>
      </c>
      <c r="F6" t="s">
        <v>258</v>
      </c>
    </row>
    <row r="7" spans="1:6">
      <c r="A7" t="s">
        <v>169</v>
      </c>
      <c r="C7" t="s">
        <v>170</v>
      </c>
      <c r="D7" s="5">
        <v>5500000</v>
      </c>
      <c r="F7" t="s">
        <v>170</v>
      </c>
    </row>
    <row r="8" spans="1:6">
      <c r="C8" t="s">
        <v>171</v>
      </c>
      <c r="D8" s="5">
        <v>2000000</v>
      </c>
      <c r="F8" t="s">
        <v>259</v>
      </c>
    </row>
    <row r="9" spans="1:6">
      <c r="C9" t="s">
        <v>172</v>
      </c>
      <c r="D9" s="5">
        <v>1800000</v>
      </c>
      <c r="F9" t="s">
        <v>172</v>
      </c>
    </row>
    <row r="10" spans="1:6">
      <c r="C10" t="s">
        <v>175</v>
      </c>
      <c r="D10" s="5">
        <v>1000000</v>
      </c>
      <c r="F10" t="s">
        <v>260</v>
      </c>
    </row>
    <row r="11" spans="1:6">
      <c r="C11" t="s">
        <v>173</v>
      </c>
      <c r="D11" s="5">
        <v>500000</v>
      </c>
      <c r="F11" t="s">
        <v>173</v>
      </c>
    </row>
    <row r="12" spans="1:6">
      <c r="C12" t="s">
        <v>174</v>
      </c>
      <c r="D12" s="5">
        <v>300000</v>
      </c>
      <c r="F12" t="s">
        <v>261</v>
      </c>
    </row>
    <row r="13" spans="1:6">
      <c r="C13" t="s">
        <v>176</v>
      </c>
      <c r="D13" s="5">
        <v>900000</v>
      </c>
      <c r="F13" t="s">
        <v>262</v>
      </c>
    </row>
    <row r="14" spans="1:6">
      <c r="A14" t="s">
        <v>162</v>
      </c>
      <c r="B14" t="s">
        <v>163</v>
      </c>
      <c r="D14" s="5">
        <v>3600000</v>
      </c>
      <c r="E14" t="s">
        <v>164</v>
      </c>
    </row>
    <row r="15" spans="1:6">
      <c r="B15" t="s">
        <v>166</v>
      </c>
      <c r="C15" t="s">
        <v>69</v>
      </c>
      <c r="D15" s="5">
        <v>2000000</v>
      </c>
      <c r="E15" t="s">
        <v>165</v>
      </c>
    </row>
    <row r="16" spans="1:6" ht="54">
      <c r="B16" s="49" t="s">
        <v>167</v>
      </c>
      <c r="C16" t="s">
        <v>68</v>
      </c>
      <c r="D16" s="5">
        <v>300000</v>
      </c>
    </row>
    <row r="17" spans="1:4">
      <c r="C17" t="s">
        <v>71</v>
      </c>
      <c r="D17" s="5">
        <v>1500000</v>
      </c>
    </row>
    <row r="18" spans="1:4">
      <c r="A18" t="s">
        <v>177</v>
      </c>
      <c r="D18" s="5">
        <f>D6-SUM(D14:D17)</f>
        <v>4600000</v>
      </c>
    </row>
    <row r="19" spans="1:4">
      <c r="A19" t="s">
        <v>101</v>
      </c>
      <c r="D19" s="50">
        <f>D18/D6</f>
        <v>0.38333333333333336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73CE-3B00-4632-A7C0-DD1559EE5609}">
  <dimension ref="A1:K47"/>
  <sheetViews>
    <sheetView workbookViewId="0">
      <selection sqref="A1:XFD1048576"/>
    </sheetView>
  </sheetViews>
  <sheetFormatPr defaultColWidth="3.33203125" defaultRowHeight="13"/>
  <cols>
    <col min="1" max="1" width="3.33203125" style="56"/>
    <col min="2" max="2" width="29.58203125" style="56" customWidth="1"/>
    <col min="3" max="3" width="19.25" style="56" customWidth="1"/>
    <col min="4" max="4" width="23.58203125" style="56" customWidth="1"/>
    <col min="5" max="7" width="3.33203125" style="56"/>
    <col min="8" max="8" width="9" style="56" bestFit="1" customWidth="1"/>
    <col min="9" max="9" width="6.5" style="56" customWidth="1"/>
    <col min="10" max="10" width="49" style="56" bestFit="1" customWidth="1"/>
    <col min="11" max="11" width="8.5" style="56" bestFit="1" customWidth="1"/>
    <col min="12" max="255" width="3.33203125" style="56"/>
    <col min="256" max="256" width="29.58203125" style="56" customWidth="1"/>
    <col min="257" max="257" width="19.25" style="56" customWidth="1"/>
    <col min="258" max="258" width="23.58203125" style="56" customWidth="1"/>
    <col min="259" max="511" width="3.33203125" style="56"/>
    <col min="512" max="512" width="29.58203125" style="56" customWidth="1"/>
    <col min="513" max="513" width="19.25" style="56" customWidth="1"/>
    <col min="514" max="514" width="23.58203125" style="56" customWidth="1"/>
    <col min="515" max="767" width="3.33203125" style="56"/>
    <col min="768" max="768" width="29.58203125" style="56" customWidth="1"/>
    <col min="769" max="769" width="19.25" style="56" customWidth="1"/>
    <col min="770" max="770" width="23.58203125" style="56" customWidth="1"/>
    <col min="771" max="1023" width="3.33203125" style="56"/>
    <col min="1024" max="1024" width="29.58203125" style="56" customWidth="1"/>
    <col min="1025" max="1025" width="19.25" style="56" customWidth="1"/>
    <col min="1026" max="1026" width="23.58203125" style="56" customWidth="1"/>
    <col min="1027" max="1279" width="3.33203125" style="56"/>
    <col min="1280" max="1280" width="29.58203125" style="56" customWidth="1"/>
    <col min="1281" max="1281" width="19.25" style="56" customWidth="1"/>
    <col min="1282" max="1282" width="23.58203125" style="56" customWidth="1"/>
    <col min="1283" max="1535" width="3.33203125" style="56"/>
    <col min="1536" max="1536" width="29.58203125" style="56" customWidth="1"/>
    <col min="1537" max="1537" width="19.25" style="56" customWidth="1"/>
    <col min="1538" max="1538" width="23.58203125" style="56" customWidth="1"/>
    <col min="1539" max="1791" width="3.33203125" style="56"/>
    <col min="1792" max="1792" width="29.58203125" style="56" customWidth="1"/>
    <col min="1793" max="1793" width="19.25" style="56" customWidth="1"/>
    <col min="1794" max="1794" width="23.58203125" style="56" customWidth="1"/>
    <col min="1795" max="2047" width="3.33203125" style="56"/>
    <col min="2048" max="2048" width="29.58203125" style="56" customWidth="1"/>
    <col min="2049" max="2049" width="19.25" style="56" customWidth="1"/>
    <col min="2050" max="2050" width="23.58203125" style="56" customWidth="1"/>
    <col min="2051" max="2303" width="3.33203125" style="56"/>
    <col min="2304" max="2304" width="29.58203125" style="56" customWidth="1"/>
    <col min="2305" max="2305" width="19.25" style="56" customWidth="1"/>
    <col min="2306" max="2306" width="23.58203125" style="56" customWidth="1"/>
    <col min="2307" max="2559" width="3.33203125" style="56"/>
    <col min="2560" max="2560" width="29.58203125" style="56" customWidth="1"/>
    <col min="2561" max="2561" width="19.25" style="56" customWidth="1"/>
    <col min="2562" max="2562" width="23.58203125" style="56" customWidth="1"/>
    <col min="2563" max="2815" width="3.33203125" style="56"/>
    <col min="2816" max="2816" width="29.58203125" style="56" customWidth="1"/>
    <col min="2817" max="2817" width="19.25" style="56" customWidth="1"/>
    <col min="2818" max="2818" width="23.58203125" style="56" customWidth="1"/>
    <col min="2819" max="3071" width="3.33203125" style="56"/>
    <col min="3072" max="3072" width="29.58203125" style="56" customWidth="1"/>
    <col min="3073" max="3073" width="19.25" style="56" customWidth="1"/>
    <col min="3074" max="3074" width="23.58203125" style="56" customWidth="1"/>
    <col min="3075" max="3327" width="3.33203125" style="56"/>
    <col min="3328" max="3328" width="29.58203125" style="56" customWidth="1"/>
    <col min="3329" max="3329" width="19.25" style="56" customWidth="1"/>
    <col min="3330" max="3330" width="23.58203125" style="56" customWidth="1"/>
    <col min="3331" max="3583" width="3.33203125" style="56"/>
    <col min="3584" max="3584" width="29.58203125" style="56" customWidth="1"/>
    <col min="3585" max="3585" width="19.25" style="56" customWidth="1"/>
    <col min="3586" max="3586" width="23.58203125" style="56" customWidth="1"/>
    <col min="3587" max="3839" width="3.33203125" style="56"/>
    <col min="3840" max="3840" width="29.58203125" style="56" customWidth="1"/>
    <col min="3841" max="3841" width="19.25" style="56" customWidth="1"/>
    <col min="3842" max="3842" width="23.58203125" style="56" customWidth="1"/>
    <col min="3843" max="4095" width="3.33203125" style="56"/>
    <col min="4096" max="4096" width="29.58203125" style="56" customWidth="1"/>
    <col min="4097" max="4097" width="19.25" style="56" customWidth="1"/>
    <col min="4098" max="4098" width="23.58203125" style="56" customWidth="1"/>
    <col min="4099" max="4351" width="3.33203125" style="56"/>
    <col min="4352" max="4352" width="29.58203125" style="56" customWidth="1"/>
    <col min="4353" max="4353" width="19.25" style="56" customWidth="1"/>
    <col min="4354" max="4354" width="23.58203125" style="56" customWidth="1"/>
    <col min="4355" max="4607" width="3.33203125" style="56"/>
    <col min="4608" max="4608" width="29.58203125" style="56" customWidth="1"/>
    <col min="4609" max="4609" width="19.25" style="56" customWidth="1"/>
    <col min="4610" max="4610" width="23.58203125" style="56" customWidth="1"/>
    <col min="4611" max="4863" width="3.33203125" style="56"/>
    <col min="4864" max="4864" width="29.58203125" style="56" customWidth="1"/>
    <col min="4865" max="4865" width="19.25" style="56" customWidth="1"/>
    <col min="4866" max="4866" width="23.58203125" style="56" customWidth="1"/>
    <col min="4867" max="5119" width="3.33203125" style="56"/>
    <col min="5120" max="5120" width="29.58203125" style="56" customWidth="1"/>
    <col min="5121" max="5121" width="19.25" style="56" customWidth="1"/>
    <col min="5122" max="5122" width="23.58203125" style="56" customWidth="1"/>
    <col min="5123" max="5375" width="3.33203125" style="56"/>
    <col min="5376" max="5376" width="29.58203125" style="56" customWidth="1"/>
    <col min="5377" max="5377" width="19.25" style="56" customWidth="1"/>
    <col min="5378" max="5378" width="23.58203125" style="56" customWidth="1"/>
    <col min="5379" max="5631" width="3.33203125" style="56"/>
    <col min="5632" max="5632" width="29.58203125" style="56" customWidth="1"/>
    <col min="5633" max="5633" width="19.25" style="56" customWidth="1"/>
    <col min="5634" max="5634" width="23.58203125" style="56" customWidth="1"/>
    <col min="5635" max="5887" width="3.33203125" style="56"/>
    <col min="5888" max="5888" width="29.58203125" style="56" customWidth="1"/>
    <col min="5889" max="5889" width="19.25" style="56" customWidth="1"/>
    <col min="5890" max="5890" width="23.58203125" style="56" customWidth="1"/>
    <col min="5891" max="6143" width="3.33203125" style="56"/>
    <col min="6144" max="6144" width="29.58203125" style="56" customWidth="1"/>
    <col min="6145" max="6145" width="19.25" style="56" customWidth="1"/>
    <col min="6146" max="6146" width="23.58203125" style="56" customWidth="1"/>
    <col min="6147" max="6399" width="3.33203125" style="56"/>
    <col min="6400" max="6400" width="29.58203125" style="56" customWidth="1"/>
    <col min="6401" max="6401" width="19.25" style="56" customWidth="1"/>
    <col min="6402" max="6402" width="23.58203125" style="56" customWidth="1"/>
    <col min="6403" max="6655" width="3.33203125" style="56"/>
    <col min="6656" max="6656" width="29.58203125" style="56" customWidth="1"/>
    <col min="6657" max="6657" width="19.25" style="56" customWidth="1"/>
    <col min="6658" max="6658" width="23.58203125" style="56" customWidth="1"/>
    <col min="6659" max="6911" width="3.33203125" style="56"/>
    <col min="6912" max="6912" width="29.58203125" style="56" customWidth="1"/>
    <col min="6913" max="6913" width="19.25" style="56" customWidth="1"/>
    <col min="6914" max="6914" width="23.58203125" style="56" customWidth="1"/>
    <col min="6915" max="7167" width="3.33203125" style="56"/>
    <col min="7168" max="7168" width="29.58203125" style="56" customWidth="1"/>
    <col min="7169" max="7169" width="19.25" style="56" customWidth="1"/>
    <col min="7170" max="7170" width="23.58203125" style="56" customWidth="1"/>
    <col min="7171" max="7423" width="3.33203125" style="56"/>
    <col min="7424" max="7424" width="29.58203125" style="56" customWidth="1"/>
    <col min="7425" max="7425" width="19.25" style="56" customWidth="1"/>
    <col min="7426" max="7426" width="23.58203125" style="56" customWidth="1"/>
    <col min="7427" max="7679" width="3.33203125" style="56"/>
    <col min="7680" max="7680" width="29.58203125" style="56" customWidth="1"/>
    <col min="7681" max="7681" width="19.25" style="56" customWidth="1"/>
    <col min="7682" max="7682" width="23.58203125" style="56" customWidth="1"/>
    <col min="7683" max="7935" width="3.33203125" style="56"/>
    <col min="7936" max="7936" width="29.58203125" style="56" customWidth="1"/>
    <col min="7937" max="7937" width="19.25" style="56" customWidth="1"/>
    <col min="7938" max="7938" width="23.58203125" style="56" customWidth="1"/>
    <col min="7939" max="8191" width="3.33203125" style="56"/>
    <col min="8192" max="8192" width="29.58203125" style="56" customWidth="1"/>
    <col min="8193" max="8193" width="19.25" style="56" customWidth="1"/>
    <col min="8194" max="8194" width="23.58203125" style="56" customWidth="1"/>
    <col min="8195" max="8447" width="3.33203125" style="56"/>
    <col min="8448" max="8448" width="29.58203125" style="56" customWidth="1"/>
    <col min="8449" max="8449" width="19.25" style="56" customWidth="1"/>
    <col min="8450" max="8450" width="23.58203125" style="56" customWidth="1"/>
    <col min="8451" max="8703" width="3.33203125" style="56"/>
    <col min="8704" max="8704" width="29.58203125" style="56" customWidth="1"/>
    <col min="8705" max="8705" width="19.25" style="56" customWidth="1"/>
    <col min="8706" max="8706" width="23.58203125" style="56" customWidth="1"/>
    <col min="8707" max="8959" width="3.33203125" style="56"/>
    <col min="8960" max="8960" width="29.58203125" style="56" customWidth="1"/>
    <col min="8961" max="8961" width="19.25" style="56" customWidth="1"/>
    <col min="8962" max="8962" width="23.58203125" style="56" customWidth="1"/>
    <col min="8963" max="9215" width="3.33203125" style="56"/>
    <col min="9216" max="9216" width="29.58203125" style="56" customWidth="1"/>
    <col min="9217" max="9217" width="19.25" style="56" customWidth="1"/>
    <col min="9218" max="9218" width="23.58203125" style="56" customWidth="1"/>
    <col min="9219" max="9471" width="3.33203125" style="56"/>
    <col min="9472" max="9472" width="29.58203125" style="56" customWidth="1"/>
    <col min="9473" max="9473" width="19.25" style="56" customWidth="1"/>
    <col min="9474" max="9474" width="23.58203125" style="56" customWidth="1"/>
    <col min="9475" max="9727" width="3.33203125" style="56"/>
    <col min="9728" max="9728" width="29.58203125" style="56" customWidth="1"/>
    <col min="9729" max="9729" width="19.25" style="56" customWidth="1"/>
    <col min="9730" max="9730" width="23.58203125" style="56" customWidth="1"/>
    <col min="9731" max="9983" width="3.33203125" style="56"/>
    <col min="9984" max="9984" width="29.58203125" style="56" customWidth="1"/>
    <col min="9985" max="9985" width="19.25" style="56" customWidth="1"/>
    <col min="9986" max="9986" width="23.58203125" style="56" customWidth="1"/>
    <col min="9987" max="10239" width="3.33203125" style="56"/>
    <col min="10240" max="10240" width="29.58203125" style="56" customWidth="1"/>
    <col min="10241" max="10241" width="19.25" style="56" customWidth="1"/>
    <col min="10242" max="10242" width="23.58203125" style="56" customWidth="1"/>
    <col min="10243" max="10495" width="3.33203125" style="56"/>
    <col min="10496" max="10496" width="29.58203125" style="56" customWidth="1"/>
    <col min="10497" max="10497" width="19.25" style="56" customWidth="1"/>
    <col min="10498" max="10498" width="23.58203125" style="56" customWidth="1"/>
    <col min="10499" max="10751" width="3.33203125" style="56"/>
    <col min="10752" max="10752" width="29.58203125" style="56" customWidth="1"/>
    <col min="10753" max="10753" width="19.25" style="56" customWidth="1"/>
    <col min="10754" max="10754" width="23.58203125" style="56" customWidth="1"/>
    <col min="10755" max="11007" width="3.33203125" style="56"/>
    <col min="11008" max="11008" width="29.58203125" style="56" customWidth="1"/>
    <col min="11009" max="11009" width="19.25" style="56" customWidth="1"/>
    <col min="11010" max="11010" width="23.58203125" style="56" customWidth="1"/>
    <col min="11011" max="11263" width="3.33203125" style="56"/>
    <col min="11264" max="11264" width="29.58203125" style="56" customWidth="1"/>
    <col min="11265" max="11265" width="19.25" style="56" customWidth="1"/>
    <col min="11266" max="11266" width="23.58203125" style="56" customWidth="1"/>
    <col min="11267" max="11519" width="3.33203125" style="56"/>
    <col min="11520" max="11520" width="29.58203125" style="56" customWidth="1"/>
    <col min="11521" max="11521" width="19.25" style="56" customWidth="1"/>
    <col min="11522" max="11522" width="23.58203125" style="56" customWidth="1"/>
    <col min="11523" max="11775" width="3.33203125" style="56"/>
    <col min="11776" max="11776" width="29.58203125" style="56" customWidth="1"/>
    <col min="11777" max="11777" width="19.25" style="56" customWidth="1"/>
    <col min="11778" max="11778" width="23.58203125" style="56" customWidth="1"/>
    <col min="11779" max="12031" width="3.33203125" style="56"/>
    <col min="12032" max="12032" width="29.58203125" style="56" customWidth="1"/>
    <col min="12033" max="12033" width="19.25" style="56" customWidth="1"/>
    <col min="12034" max="12034" width="23.58203125" style="56" customWidth="1"/>
    <col min="12035" max="12287" width="3.33203125" style="56"/>
    <col min="12288" max="12288" width="29.58203125" style="56" customWidth="1"/>
    <col min="12289" max="12289" width="19.25" style="56" customWidth="1"/>
    <col min="12290" max="12290" width="23.58203125" style="56" customWidth="1"/>
    <col min="12291" max="12543" width="3.33203125" style="56"/>
    <col min="12544" max="12544" width="29.58203125" style="56" customWidth="1"/>
    <col min="12545" max="12545" width="19.25" style="56" customWidth="1"/>
    <col min="12546" max="12546" width="23.58203125" style="56" customWidth="1"/>
    <col min="12547" max="12799" width="3.33203125" style="56"/>
    <col min="12800" max="12800" width="29.58203125" style="56" customWidth="1"/>
    <col min="12801" max="12801" width="19.25" style="56" customWidth="1"/>
    <col min="12802" max="12802" width="23.58203125" style="56" customWidth="1"/>
    <col min="12803" max="13055" width="3.33203125" style="56"/>
    <col min="13056" max="13056" width="29.58203125" style="56" customWidth="1"/>
    <col min="13057" max="13057" width="19.25" style="56" customWidth="1"/>
    <col min="13058" max="13058" width="23.58203125" style="56" customWidth="1"/>
    <col min="13059" max="13311" width="3.33203125" style="56"/>
    <col min="13312" max="13312" width="29.58203125" style="56" customWidth="1"/>
    <col min="13313" max="13313" width="19.25" style="56" customWidth="1"/>
    <col min="13314" max="13314" width="23.58203125" style="56" customWidth="1"/>
    <col min="13315" max="13567" width="3.33203125" style="56"/>
    <col min="13568" max="13568" width="29.58203125" style="56" customWidth="1"/>
    <col min="13569" max="13569" width="19.25" style="56" customWidth="1"/>
    <col min="13570" max="13570" width="23.58203125" style="56" customWidth="1"/>
    <col min="13571" max="13823" width="3.33203125" style="56"/>
    <col min="13824" max="13824" width="29.58203125" style="56" customWidth="1"/>
    <col min="13825" max="13825" width="19.25" style="56" customWidth="1"/>
    <col min="13826" max="13826" width="23.58203125" style="56" customWidth="1"/>
    <col min="13827" max="14079" width="3.33203125" style="56"/>
    <col min="14080" max="14080" width="29.58203125" style="56" customWidth="1"/>
    <col min="14081" max="14081" width="19.25" style="56" customWidth="1"/>
    <col min="14082" max="14082" width="23.58203125" style="56" customWidth="1"/>
    <col min="14083" max="14335" width="3.33203125" style="56"/>
    <col min="14336" max="14336" width="29.58203125" style="56" customWidth="1"/>
    <col min="14337" max="14337" width="19.25" style="56" customWidth="1"/>
    <col min="14338" max="14338" width="23.58203125" style="56" customWidth="1"/>
    <col min="14339" max="14591" width="3.33203125" style="56"/>
    <col min="14592" max="14592" width="29.58203125" style="56" customWidth="1"/>
    <col min="14593" max="14593" width="19.25" style="56" customWidth="1"/>
    <col min="14594" max="14594" width="23.58203125" style="56" customWidth="1"/>
    <col min="14595" max="14847" width="3.33203125" style="56"/>
    <col min="14848" max="14848" width="29.58203125" style="56" customWidth="1"/>
    <col min="14849" max="14849" width="19.25" style="56" customWidth="1"/>
    <col min="14850" max="14850" width="23.58203125" style="56" customWidth="1"/>
    <col min="14851" max="15103" width="3.33203125" style="56"/>
    <col min="15104" max="15104" width="29.58203125" style="56" customWidth="1"/>
    <col min="15105" max="15105" width="19.25" style="56" customWidth="1"/>
    <col min="15106" max="15106" width="23.58203125" style="56" customWidth="1"/>
    <col min="15107" max="15359" width="3.33203125" style="56"/>
    <col min="15360" max="15360" width="29.58203125" style="56" customWidth="1"/>
    <col min="15361" max="15361" width="19.25" style="56" customWidth="1"/>
    <col min="15362" max="15362" width="23.58203125" style="56" customWidth="1"/>
    <col min="15363" max="15615" width="3.33203125" style="56"/>
    <col min="15616" max="15616" width="29.58203125" style="56" customWidth="1"/>
    <col min="15617" max="15617" width="19.25" style="56" customWidth="1"/>
    <col min="15618" max="15618" width="23.58203125" style="56" customWidth="1"/>
    <col min="15619" max="15871" width="3.33203125" style="56"/>
    <col min="15872" max="15872" width="29.58203125" style="56" customWidth="1"/>
    <col min="15873" max="15873" width="19.25" style="56" customWidth="1"/>
    <col min="15874" max="15874" width="23.58203125" style="56" customWidth="1"/>
    <col min="15875" max="16127" width="3.33203125" style="56"/>
    <col min="16128" max="16128" width="29.58203125" style="56" customWidth="1"/>
    <col min="16129" max="16129" width="19.25" style="56" customWidth="1"/>
    <col min="16130" max="16130" width="23.58203125" style="56" customWidth="1"/>
    <col min="16131" max="16384" width="3.33203125" style="56"/>
  </cols>
  <sheetData>
    <row r="1" spans="1:11" ht="36" customHeight="1">
      <c r="A1" s="54" t="s">
        <v>178</v>
      </c>
      <c r="B1" s="54"/>
      <c r="C1" s="54"/>
      <c r="D1" s="54"/>
      <c r="E1" s="55"/>
    </row>
    <row r="2" spans="1:11" ht="10.5" customHeight="1">
      <c r="A2" s="57"/>
      <c r="B2" s="57"/>
      <c r="C2" s="57"/>
      <c r="D2" s="57"/>
      <c r="E2" s="57"/>
    </row>
    <row r="3" spans="1:11" ht="27" customHeight="1">
      <c r="A3" s="58"/>
      <c r="B3" s="59"/>
      <c r="C3" s="60"/>
      <c r="D3" s="61"/>
      <c r="E3" s="60"/>
    </row>
    <row r="4" spans="1:11" ht="27" customHeight="1">
      <c r="A4" s="62" t="s">
        <v>179</v>
      </c>
      <c r="B4" s="62"/>
    </row>
    <row r="5" spans="1:11" ht="27" customHeight="1">
      <c r="A5" s="55"/>
      <c r="B5" s="63" t="s">
        <v>180</v>
      </c>
      <c r="C5" s="63" t="s">
        <v>181</v>
      </c>
      <c r="D5" s="63" t="s">
        <v>182</v>
      </c>
      <c r="E5" s="55"/>
      <c r="H5" s="64"/>
      <c r="J5" s="65" t="s">
        <v>183</v>
      </c>
      <c r="K5" s="66">
        <v>1584</v>
      </c>
    </row>
    <row r="6" spans="1:11" ht="18" customHeight="1">
      <c r="A6" s="58"/>
      <c r="B6" s="67" t="s">
        <v>184</v>
      </c>
      <c r="C6" s="68">
        <v>13847393</v>
      </c>
      <c r="D6" s="67"/>
      <c r="H6" s="64" t="s">
        <v>185</v>
      </c>
      <c r="I6" s="56">
        <v>22</v>
      </c>
      <c r="J6" s="65" t="s">
        <v>186</v>
      </c>
      <c r="K6" s="66">
        <v>7624829</v>
      </c>
    </row>
    <row r="7" spans="1:11" ht="18" customHeight="1" thickBot="1">
      <c r="A7" s="58"/>
      <c r="B7" s="69" t="s">
        <v>187</v>
      </c>
      <c r="C7" s="70">
        <v>219192</v>
      </c>
      <c r="D7" s="67" t="s">
        <v>188</v>
      </c>
      <c r="E7" s="58"/>
      <c r="H7" s="64" t="s">
        <v>189</v>
      </c>
      <c r="I7" s="56">
        <v>50</v>
      </c>
      <c r="J7" s="65" t="s">
        <v>190</v>
      </c>
      <c r="K7" s="66">
        <v>69300</v>
      </c>
    </row>
    <row r="8" spans="1:11" ht="18" customHeight="1" thickTop="1">
      <c r="A8" s="58"/>
      <c r="B8" s="71" t="s">
        <v>191</v>
      </c>
      <c r="C8" s="72">
        <f>SUM(C6:C7)</f>
        <v>14066585</v>
      </c>
      <c r="D8" s="73"/>
      <c r="E8" s="58"/>
      <c r="H8" s="64" t="s">
        <v>192</v>
      </c>
      <c r="I8" s="56">
        <v>31</v>
      </c>
      <c r="J8" s="65" t="s">
        <v>193</v>
      </c>
      <c r="K8" s="66">
        <v>172784</v>
      </c>
    </row>
    <row r="9" spans="1:11" ht="18" customHeight="1">
      <c r="A9" s="58"/>
      <c r="B9" s="74"/>
      <c r="C9" s="60"/>
      <c r="D9" s="60"/>
      <c r="E9" s="58"/>
      <c r="H9" s="64" t="s">
        <v>194</v>
      </c>
      <c r="I9" s="56">
        <v>34.5</v>
      </c>
      <c r="J9" s="65" t="s">
        <v>195</v>
      </c>
      <c r="K9" s="66">
        <v>321891</v>
      </c>
    </row>
    <row r="10" spans="1:11" ht="18" customHeight="1">
      <c r="A10" s="58"/>
      <c r="B10" s="60"/>
      <c r="C10" s="60"/>
      <c r="D10" s="60"/>
      <c r="E10" s="58"/>
      <c r="H10" s="64" t="s">
        <v>196</v>
      </c>
      <c r="I10" s="56">
        <v>33</v>
      </c>
      <c r="J10" s="65" t="s">
        <v>197</v>
      </c>
      <c r="K10" s="66">
        <v>131490</v>
      </c>
    </row>
    <row r="11" spans="1:11" ht="27" customHeight="1">
      <c r="A11" s="62" t="s">
        <v>198</v>
      </c>
      <c r="B11" s="62"/>
      <c r="C11" s="60"/>
      <c r="D11" s="60"/>
      <c r="E11" s="58"/>
      <c r="H11" s="64" t="s">
        <v>199</v>
      </c>
      <c r="I11" s="56">
        <v>26</v>
      </c>
      <c r="J11" s="65" t="s">
        <v>200</v>
      </c>
      <c r="K11" s="66">
        <v>44895</v>
      </c>
    </row>
    <row r="12" spans="1:11" ht="27" customHeight="1">
      <c r="A12" s="58"/>
      <c r="B12" s="63" t="s">
        <v>180</v>
      </c>
      <c r="C12" s="63" t="s">
        <v>181</v>
      </c>
      <c r="D12" s="63" t="s">
        <v>182</v>
      </c>
      <c r="E12" s="58"/>
      <c r="H12" s="64" t="s">
        <v>201</v>
      </c>
      <c r="I12" s="56">
        <v>27</v>
      </c>
      <c r="J12" s="65" t="s">
        <v>202</v>
      </c>
      <c r="K12" s="66">
        <v>16637</v>
      </c>
    </row>
    <row r="13" spans="1:11" ht="18" customHeight="1">
      <c r="A13" s="58"/>
      <c r="B13" s="67" t="s">
        <v>203</v>
      </c>
      <c r="C13" s="68">
        <v>3520000</v>
      </c>
      <c r="D13" s="67" t="s">
        <v>204</v>
      </c>
      <c r="E13" s="58"/>
      <c r="H13" s="64" t="s">
        <v>205</v>
      </c>
      <c r="I13" s="56">
        <v>14</v>
      </c>
      <c r="J13" s="65" t="s">
        <v>206</v>
      </c>
      <c r="K13" s="66">
        <v>1519076</v>
      </c>
    </row>
    <row r="14" spans="1:11" ht="18" customHeight="1">
      <c r="A14" s="58"/>
      <c r="B14" s="67" t="s">
        <v>207</v>
      </c>
      <c r="C14" s="68">
        <v>616000</v>
      </c>
      <c r="D14" s="67" t="s">
        <v>208</v>
      </c>
      <c r="E14" s="58"/>
      <c r="H14" s="64" t="s">
        <v>209</v>
      </c>
      <c r="I14" s="56">
        <f>SUM(I5:I13)*1.2</f>
        <v>285</v>
      </c>
      <c r="J14" s="65" t="s">
        <v>210</v>
      </c>
      <c r="K14" s="66">
        <v>23753</v>
      </c>
    </row>
    <row r="15" spans="1:11" ht="18" customHeight="1">
      <c r="A15" s="58"/>
      <c r="B15" s="67" t="s">
        <v>68</v>
      </c>
      <c r="C15" s="68">
        <v>94655</v>
      </c>
      <c r="D15" s="67" t="s">
        <v>211</v>
      </c>
      <c r="E15" s="58"/>
      <c r="H15" s="64" t="s">
        <v>212</v>
      </c>
      <c r="I15" s="56">
        <v>30</v>
      </c>
      <c r="J15" s="65" t="s">
        <v>213</v>
      </c>
      <c r="K15" s="66"/>
    </row>
    <row r="16" spans="1:11" ht="18" customHeight="1">
      <c r="A16" s="58"/>
      <c r="B16" s="67" t="s">
        <v>214</v>
      </c>
      <c r="C16" s="68">
        <v>116080</v>
      </c>
      <c r="D16" s="67" t="s">
        <v>215</v>
      </c>
      <c r="E16" s="58"/>
      <c r="H16" s="64" t="s">
        <v>216</v>
      </c>
      <c r="I16" s="56">
        <v>22</v>
      </c>
      <c r="J16" s="65" t="s">
        <v>217</v>
      </c>
      <c r="K16" s="66">
        <v>16500</v>
      </c>
    </row>
    <row r="17" spans="1:11" ht="18" customHeight="1">
      <c r="A17" s="58"/>
      <c r="B17" s="67" t="s">
        <v>218</v>
      </c>
      <c r="C17" s="68">
        <v>96877</v>
      </c>
      <c r="D17" s="67"/>
      <c r="E17" s="58"/>
      <c r="J17" s="65" t="s">
        <v>219</v>
      </c>
      <c r="K17" s="66">
        <v>42679</v>
      </c>
    </row>
    <row r="18" spans="1:11" ht="18" customHeight="1">
      <c r="A18" s="58"/>
      <c r="B18" s="67" t="s">
        <v>220</v>
      </c>
      <c r="C18" s="68">
        <v>193848</v>
      </c>
      <c r="D18" s="67" t="s">
        <v>221</v>
      </c>
      <c r="E18" s="58"/>
      <c r="H18" s="64"/>
      <c r="J18" s="65" t="s">
        <v>222</v>
      </c>
      <c r="K18" s="66">
        <v>4004</v>
      </c>
    </row>
    <row r="19" spans="1:11" ht="18" customHeight="1">
      <c r="B19" s="67" t="s">
        <v>223</v>
      </c>
      <c r="C19" s="68">
        <v>1648612</v>
      </c>
      <c r="D19" s="67"/>
      <c r="H19" s="64" t="s">
        <v>163</v>
      </c>
      <c r="I19" s="56">
        <f>SUM(I14:I18)</f>
        <v>337</v>
      </c>
      <c r="J19" s="65" t="s">
        <v>224</v>
      </c>
      <c r="K19" s="66"/>
    </row>
    <row r="20" spans="1:11" ht="18" customHeight="1">
      <c r="B20" s="67" t="s">
        <v>225</v>
      </c>
      <c r="C20" s="68">
        <v>29700</v>
      </c>
      <c r="D20" s="67"/>
      <c r="J20" s="65" t="s">
        <v>226</v>
      </c>
      <c r="K20" s="66">
        <v>22000</v>
      </c>
    </row>
    <row r="21" spans="1:11" ht="18" customHeight="1">
      <c r="B21" s="67" t="s">
        <v>227</v>
      </c>
      <c r="C21" s="68">
        <v>83300</v>
      </c>
      <c r="D21" s="67" t="s">
        <v>228</v>
      </c>
      <c r="J21" s="65" t="s">
        <v>229</v>
      </c>
      <c r="K21" s="66"/>
    </row>
    <row r="22" spans="1:11" ht="18" customHeight="1">
      <c r="B22" s="67" t="s">
        <v>230</v>
      </c>
      <c r="C22" s="68">
        <v>55000</v>
      </c>
      <c r="D22" s="67" t="s">
        <v>231</v>
      </c>
      <c r="J22" s="65" t="s">
        <v>232</v>
      </c>
      <c r="K22" s="66">
        <v>195140</v>
      </c>
    </row>
    <row r="23" spans="1:11" ht="18" customHeight="1">
      <c r="A23" s="75"/>
      <c r="B23" s="67" t="s">
        <v>233</v>
      </c>
      <c r="C23" s="68">
        <v>99000</v>
      </c>
      <c r="D23" s="67"/>
      <c r="E23" s="75"/>
      <c r="J23" s="65" t="s">
        <v>234</v>
      </c>
      <c r="K23" s="66">
        <v>77376</v>
      </c>
    </row>
    <row r="24" spans="1:11" ht="18" customHeight="1">
      <c r="A24" s="75"/>
      <c r="B24" s="67" t="s">
        <v>235</v>
      </c>
      <c r="C24" s="68">
        <v>33000</v>
      </c>
      <c r="D24" s="67" t="s">
        <v>236</v>
      </c>
      <c r="E24" s="75"/>
      <c r="J24" s="65" t="s">
        <v>237</v>
      </c>
      <c r="K24" s="66">
        <v>15125</v>
      </c>
    </row>
    <row r="25" spans="1:11" ht="18" customHeight="1">
      <c r="B25" s="67" t="s">
        <v>238</v>
      </c>
      <c r="C25" s="68">
        <v>250031</v>
      </c>
      <c r="D25" s="67" t="s">
        <v>239</v>
      </c>
      <c r="J25" s="65" t="s">
        <v>240</v>
      </c>
      <c r="K25" s="66">
        <v>2061665</v>
      </c>
    </row>
    <row r="26" spans="1:11" ht="18" customHeight="1">
      <c r="B26" s="67" t="s">
        <v>241</v>
      </c>
      <c r="C26" s="68">
        <v>55000</v>
      </c>
      <c r="D26" s="67" t="s">
        <v>242</v>
      </c>
      <c r="J26" s="65" t="s">
        <v>243</v>
      </c>
      <c r="K26" s="66">
        <v>3266</v>
      </c>
    </row>
    <row r="27" spans="1:11" ht="18" customHeight="1">
      <c r="B27" s="76" t="s">
        <v>244</v>
      </c>
      <c r="C27" s="70">
        <v>8000</v>
      </c>
      <c r="D27" s="67" t="s">
        <v>245</v>
      </c>
      <c r="J27" s="65" t="s">
        <v>246</v>
      </c>
      <c r="K27" s="66">
        <v>6600</v>
      </c>
    </row>
    <row r="28" spans="1:11" ht="18" customHeight="1" thickBot="1">
      <c r="A28" s="75"/>
      <c r="B28" s="69" t="s">
        <v>247</v>
      </c>
      <c r="C28" s="70">
        <v>33840</v>
      </c>
      <c r="D28" s="67"/>
      <c r="E28" s="75"/>
      <c r="J28" s="65" t="s">
        <v>248</v>
      </c>
      <c r="K28" s="66">
        <v>314846</v>
      </c>
    </row>
    <row r="29" spans="1:11" ht="18" customHeight="1" thickTop="1">
      <c r="B29" s="71" t="s">
        <v>249</v>
      </c>
      <c r="C29" s="72">
        <f>SUM(C13:C28)</f>
        <v>6932943</v>
      </c>
      <c r="D29" s="73"/>
      <c r="J29" s="65" t="s">
        <v>250</v>
      </c>
      <c r="K29" s="66">
        <v>3765</v>
      </c>
    </row>
    <row r="30" spans="1:11" ht="18" customHeight="1">
      <c r="B30" s="56" t="s">
        <v>203</v>
      </c>
      <c r="C30" s="77">
        <f>C13</f>
        <v>3520000</v>
      </c>
      <c r="J30" s="65" t="s">
        <v>251</v>
      </c>
      <c r="K30" s="66">
        <v>79403</v>
      </c>
    </row>
    <row r="31" spans="1:11" ht="18" customHeight="1">
      <c r="B31" s="56" t="s">
        <v>162</v>
      </c>
      <c r="C31" s="78">
        <f>C29-C30</f>
        <v>3412943</v>
      </c>
      <c r="J31" s="65" t="s">
        <v>252</v>
      </c>
      <c r="K31" s="66">
        <v>2463525</v>
      </c>
    </row>
    <row r="32" spans="1:11" ht="18" customHeight="1">
      <c r="B32" s="79" t="s">
        <v>253</v>
      </c>
      <c r="C32" s="68">
        <f>C8*1.1</f>
        <v>15473243.500000002</v>
      </c>
      <c r="J32" s="65"/>
      <c r="K32" s="66"/>
    </row>
    <row r="33" spans="2:11" ht="18" customHeight="1" thickBot="1">
      <c r="B33" s="80" t="s">
        <v>254</v>
      </c>
      <c r="C33" s="81">
        <f>C29</f>
        <v>6932943</v>
      </c>
      <c r="J33" s="65"/>
      <c r="K33" s="66"/>
    </row>
    <row r="34" spans="2:11" ht="18" customHeight="1" thickTop="1">
      <c r="B34" s="82" t="s">
        <v>255</v>
      </c>
      <c r="C34" s="83">
        <f>C32-C33</f>
        <v>8540300.5000000019</v>
      </c>
      <c r="J34" s="65"/>
      <c r="K34" s="66"/>
    </row>
    <row r="35" spans="2:11" ht="18" customHeight="1">
      <c r="B35" s="60" t="s">
        <v>101</v>
      </c>
      <c r="C35" s="84">
        <f>100%-C36-C37</f>
        <v>0.55193990193458797</v>
      </c>
      <c r="J35" s="65"/>
      <c r="K35" s="66"/>
    </row>
    <row r="36" spans="2:11" ht="18" customHeight="1">
      <c r="B36" s="56" t="s">
        <v>256</v>
      </c>
      <c r="C36" s="84">
        <f>C30/C32</f>
        <v>0.22748947239148662</v>
      </c>
      <c r="J36" s="65"/>
      <c r="K36" s="66"/>
    </row>
    <row r="37" spans="2:11" ht="18" customHeight="1">
      <c r="B37" s="60" t="s">
        <v>257</v>
      </c>
      <c r="C37" s="84">
        <f>C31/C32</f>
        <v>0.22057062567392541</v>
      </c>
      <c r="J37" s="65"/>
      <c r="K37" s="66"/>
    </row>
    <row r="38" spans="2:11" ht="18" customHeight="1">
      <c r="J38" s="65"/>
      <c r="K38" s="66"/>
    </row>
    <row r="39" spans="2:11" ht="18" customHeight="1">
      <c r="J39" s="65"/>
      <c r="K39" s="66"/>
    </row>
    <row r="40" spans="2:11" ht="18">
      <c r="B40" s="85"/>
      <c r="J40" s="65"/>
      <c r="K40" s="66"/>
    </row>
    <row r="41" spans="2:11" ht="18">
      <c r="B41" s="60"/>
      <c r="J41" s="65"/>
      <c r="K41" s="66"/>
    </row>
    <row r="42" spans="2:11" ht="18">
      <c r="B42" s="86"/>
      <c r="J42" s="65"/>
      <c r="K42" s="66"/>
    </row>
    <row r="43" spans="2:11" ht="18">
      <c r="B43" s="85"/>
      <c r="J43" s="65"/>
      <c r="K43" s="66"/>
    </row>
    <row r="44" spans="2:11" ht="18">
      <c r="J44" s="65"/>
      <c r="K44" s="66"/>
    </row>
    <row r="45" spans="2:11" ht="18">
      <c r="J45" s="65"/>
      <c r="K45" s="66"/>
    </row>
    <row r="46" spans="2:11" ht="18">
      <c r="J46" s="65"/>
      <c r="K46" s="66"/>
    </row>
    <row r="47" spans="2:11" ht="18">
      <c r="J47" s="65"/>
      <c r="K47" s="66"/>
    </row>
  </sheetData>
  <mergeCells count="3">
    <mergeCell ref="A1:D1"/>
    <mergeCell ref="A4:B4"/>
    <mergeCell ref="A11:B1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回収サマリー</vt:lpstr>
      <vt:lpstr>回収（２６年２月実数値）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コーポレートグループ</dc:creator>
  <cp:lastModifiedBy>コーポレートグループ</cp:lastModifiedBy>
  <dcterms:created xsi:type="dcterms:W3CDTF">2026-03-07T01:45:34Z</dcterms:created>
  <dcterms:modified xsi:type="dcterms:W3CDTF">2026-03-13T01:27:46Z</dcterms:modified>
</cp:coreProperties>
</file>